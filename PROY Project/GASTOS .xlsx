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Sheet4" sheetId="2" r:id="rId6"/>
    <sheet state="visible" name="Moto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tc={0374f2b3-85f2-4585-8f5c-11fb110a26ec}</author>
    <author>tc={1e334c83-3441-453b-9e0f-4d3b9fd0a54e}</author>
    <author>tc={277c8207-1c7e-4442-b1e4-865aa279d1c2}</author>
    <author>tc={27ae1f9c-0afd-4d9a-859e-61e001b33216}</author>
    <author>tc={2f511bc1-be1e-4934-a364-606e3d81bf3e}</author>
    <author>tc={32272fd3-5128-4c42-b5f3-f1cf177cde8f}</author>
    <author>tc={580a2201-8dbd-4a22-a1ac-5cc4d11f34e6}</author>
    <author>tc={5da3908a-3228-4187-a72a-01472215ebfd}</author>
    <author>tc={5dd92968-0126-4a04-9f8b-05402d7e8506}</author>
    <author>tc={663a15a0-b781-4c81-9f24-1565ca7735b4}</author>
    <author>tc={6fab9a93-e7fe-4672-b110-44a77ba9f36b}</author>
    <author>tc={6feb68ce-79e0-4311-b531-fe532f223bba}</author>
    <author>tc={7615e17e-a339-4e93-a3da-6a163c74ea91}</author>
    <author>tc={896a82c9-517c-4c4e-9d48-d6e172d5b98f}</author>
    <author>tc={932b2eff-acb0-4107-ae96-715364f3b1c4}</author>
    <author>tc={9f9a3a8a-2b4a-4117-a3a6-0da550d28db4}</author>
    <author>tc={a3c515be-c371-4b33-b3d5-b65ba487875a}</author>
    <author>tc={a89789e0-1a08-4d6d-81e7-c30bf3ac6530}</author>
    <author>tc={a8c09a28-3943-4b3c-935b-fcebab02ba16}</author>
    <author>tc={b3e838d9-4655-4b21-a513-3dbe6c382391}</author>
    <author>tc={bf6f7053-0a35-46a0-a40d-9bfda70ee03c}</author>
    <author>tc={d04e3256-7bdf-46c9-bb99-13acd974519d}</author>
    <author>tc={d5d2db1a-1198-4bc7-b7d7-6126e6e7c5bc}</author>
    <author>tc={d6d66428-4805-428d-8fa8-3d7a187c12b9}</author>
    <author>tc={df20a160-010b-430e-8491-c5d4c26998a2}</author>
    <author>tc={df2435d5-4058-4521-82a5-59d4e2288467}</author>
    <author>tc={f18c378e-4592-476e-9a36-d7a37adc3d45}</author>
    <author>tc={f9343e12-e9e2-4cf9-ba0f-13cfb707ec38}</author>
    <author>tc={fe7af7aa-2d9a-40f9-8cd0-c81703159395}</author>
    <author>tc={ffcf15a3-b828-4549-9d82-b41d5ec71f02}</author>
  </authors>
  <commentList>
    <comment authorId="0" ref="M106">
      <text>
        <t xml:space="preserve">Tarjeta
</t>
      </text>
    </comment>
    <comment authorId="0" ref="F41">
      <text>
        <t xml:space="preserve">Saldo Rodrigo
</t>
      </text>
    </comment>
    <comment authorId="1" xr:uid="{0374f2b3-85f2-4585-8f5c-11fb110a26ec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 mayo 25 - pa los dulces
</t>
      </text>
    </comment>
    <comment authorId="2" xr:uid="{1e334c83-3441-453b-9e0f-4d3b9fd0a54e}" ref="P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FILBO 2026
</t>
      </text>
    </comment>
    <comment authorId="3" xr:uid="{277c8207-1c7e-4442-b1e4-865aa279d1c2}" ref="Q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Ortodoncia
May 6
</t>
      </text>
    </comment>
    <comment authorId="4" xr:uid="{27ae1f9c-0afd-4d9a-859e-61e001b33216}" ref="M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tarjetas
https://m.serlefin.com/LCP/?i=amYp/27XbvSR/95
</t>
      </text>
    </comment>
    <comment authorId="5" xr:uid="{2f511bc1-be1e-4934-a364-606e3d81bf3e}" ref="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Movistar Sarah
</t>
      </text>
    </comment>
    <comment authorId="6" xr:uid="{32272fd3-5128-4c42-b5f3-f1cf177cde8f}" ref="O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ICFES
</t>
      </text>
    </comment>
    <comment authorId="7" xr:uid="{580a2201-8dbd-4a22-a1ac-5cc4d11f34e6}" ref="M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https://mail.google.com/mail/u/0/#search/rappipay/FMfcgzGtxSxFRpcZMpLrhMzhzvskxVSF
</t>
      </text>
    </comment>
    <comment authorId="8" xr:uid="{5da3908a-3228-4187-a72a-01472215ebfd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Pantalón antifricción $179.000
Taller - Coronas $320.000
</t>
      </text>
    </comment>
    <comment authorId="9" xr:uid="{5dd92968-0126-4a04-9f8b-05402d7e8506}" ref="M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Libranza
https://m.serlefin.com/LCP/?i=amYp/4XKYIf2/89
</t>
      </text>
    </comment>
    <comment authorId="10" xr:uid="{663a15a0-b781-4c81-9f24-1565ca7735b4}" ref="F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Deivi 100.000
Cadavid 75.000
</t>
      </text>
    </comment>
    <comment authorId="11" xr:uid="{6fab9a93-e7fe-4672-b110-44a77ba9f36b}" ref="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311.000 lafayette
47.000*3 = 141.000sudaderas
total 452.000
Abonos 
120.000 tennis
30.000 cargador
200.000 nequi
Saldo 100.000
</t>
      </text>
    </comment>
    <comment authorId="12" xr:uid="{6feb68ce-79e0-4311-b531-fe532f223bba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Pasajes Fusa-Bog
Reply:
	Pasajes Bog-Fusa
</t>
      </text>
    </comment>
    <comment authorId="13" xr:uid="{7615e17e-a339-4e93-a3da-6a163c74ea91}" ref="P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Creatina 1kg
</t>
      </text>
    </comment>
    <comment authorId="14" xr:uid="{896a82c9-517c-4c4e-9d48-d6e172d5b98f}" ref="Q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Ortodoncia
</t>
      </text>
    </comment>
    <comment authorId="15" xr:uid="{932b2eff-acb0-4107-ae96-715364f3b1c4}" ref="O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 ICFES
</t>
      </text>
    </comment>
    <comment authorId="16" xr:uid="{9f9a3a8a-2b4a-4117-a3a6-0da550d28db4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Prima 20 junio
</t>
      </text>
    </comment>
    <comment authorId="17" xr:uid="{a3c515be-c371-4b33-b3d5-b65ba487875a}" ref="O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Ortodoncia
</t>
      </text>
    </comment>
    <comment authorId="18" xr:uid="{a89789e0-1a08-4d6d-81e7-c30bf3ac6530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Cesantias
</t>
      </text>
    </comment>
    <comment authorId="19" xr:uid="{a8c09a28-3943-4b3c-935b-fcebab02ba16}" ref="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Lafayette
Reply:
	Deuda $141.000 Sudaderas + 311.000 Lafayette = $452.000
Abono $115.000 Tennis
Abono $30.000 Cargador
Saldo $307.000
</t>
      </text>
    </comment>
    <comment authorId="20" xr:uid="{b3e838d9-4655-4b21-a513-3dbe6c382391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pantalon antifriccion $179.000
taller electrico $320.000
</t>
      </text>
    </comment>
    <comment authorId="21" xr:uid="{bf6f7053-0a35-46a0-a40d-9bfda70ee03c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Prima $1.000.000
Vacaciones $1.000.000
</t>
      </text>
    </comment>
    <comment authorId="22" xr:uid="{d04e3256-7bdf-46c9-bb99-13acd974519d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Cesantias $776.000
</t>
      </text>
    </comment>
    <comment authorId="23" xr:uid="{d5d2db1a-1198-4bc7-b7d7-6126e6e7c5bc}" ref="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Movistar Sarah
</t>
      </text>
    </comment>
    <comment authorId="24" xr:uid="{d6d66428-4805-428d-8fa8-3d7a187c12b9}" ref="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Saldo $326.000
</t>
      </text>
    </comment>
    <comment authorId="25" xr:uid="{df20a160-010b-430e-8491-c5d4c26998a2}" ref="F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Saldo Rodrigo
</t>
      </text>
    </comment>
    <comment authorId="26" xr:uid="{df2435d5-4058-4521-82a5-59d4e2288467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Tennis Sarah
</t>
      </text>
    </comment>
    <comment authorId="27" xr:uid="{f18c378e-4592-476e-9a36-d7a37adc3d45}" ref="O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Movistar
</t>
      </text>
    </comment>
    <comment authorId="28" xr:uid="{f9343e12-e9e2-4cf9-ba0f-13cfb707ec38}" ref="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Confección Camisas
</t>
      </text>
    </comment>
    <comment authorId="29" xr:uid="{fe7af7aa-2d9a-40f9-8cd0-c81703159395}" ref="M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tarjeta y 1 virtual 
https://m.serlefin.com/LCP/?i=amYp/4DMcsPc/97
</t>
      </text>
    </comment>
    <comment authorId="30" xr:uid="{ffcf15a3-b828-4549-9d82-b41d5ec71f02}" ref="F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Cumpleaños Sarah
</t>
      </text>
    </comment>
  </commentList>
</comments>
</file>

<file path=xl/sharedStrings.xml><?xml version="1.0" encoding="utf-8"?>
<sst xmlns="http://schemas.openxmlformats.org/spreadsheetml/2006/main" count="160" uniqueCount="120">
  <si>
    <t>INGRESOS
EGRESOS</t>
  </si>
  <si>
    <t>Transcom</t>
  </si>
  <si>
    <t>Alimentos</t>
  </si>
  <si>
    <t>Moto</t>
  </si>
  <si>
    <t>Otros</t>
  </si>
  <si>
    <t>Gran TOTAL Ingresos</t>
  </si>
  <si>
    <t>Gran TOTAL Egresos</t>
  </si>
  <si>
    <t>NETO</t>
  </si>
  <si>
    <t>AHORRO</t>
  </si>
  <si>
    <t>Apto
Fusa</t>
  </si>
  <si>
    <t>Admon - $237.000</t>
  </si>
  <si>
    <t>Cuota - $400.000</t>
  </si>
  <si>
    <t>Total</t>
  </si>
  <si>
    <t>Servicios</t>
  </si>
  <si>
    <t>Luz</t>
  </si>
  <si>
    <t>Agua</t>
  </si>
  <si>
    <t>Gas</t>
  </si>
  <si>
    <t>Claro Hogar - $87.000</t>
  </si>
  <si>
    <t>Deuda</t>
  </si>
  <si>
    <t>Saldo</t>
  </si>
  <si>
    <t>Sony</t>
  </si>
  <si>
    <t>Cartera - $413.800</t>
  </si>
  <si>
    <t>Conciliación - $82.000</t>
  </si>
  <si>
    <t>TDC Master</t>
  </si>
  <si>
    <t>Cuotas pendientes</t>
  </si>
  <si>
    <t>TV Streaming - $22000</t>
  </si>
  <si>
    <t>Ceci - $106.000</t>
  </si>
  <si>
    <t>Gafas Ma - $21000</t>
  </si>
  <si>
    <t>Google One - $29.000</t>
  </si>
  <si>
    <t>Parqueadero - $52.000</t>
  </si>
  <si>
    <t>Sarah</t>
  </si>
  <si>
    <t>Pension - $499.000</t>
  </si>
  <si>
    <t>ASW - 180.000</t>
  </si>
  <si>
    <t>Mercado 1 - $450.000</t>
  </si>
  <si>
    <t>Mercado 2 - $450.000</t>
  </si>
  <si>
    <t>Pasajes</t>
  </si>
  <si>
    <t>GYM</t>
  </si>
  <si>
    <t>EXTRAS
Sarah</t>
  </si>
  <si>
    <t>MOTO
PERSONAL</t>
  </si>
  <si>
    <t>GASOLINA</t>
  </si>
  <si>
    <t>LLANTAS</t>
  </si>
  <si>
    <t>Delantera</t>
  </si>
  <si>
    <t>Trasera</t>
  </si>
  <si>
    <t>KIT ARRASTRE</t>
  </si>
  <si>
    <t>PASTILLAS</t>
  </si>
  <si>
    <t>ACEITE</t>
  </si>
  <si>
    <t>ALMUERZOS / COMIDA</t>
  </si>
  <si>
    <t>EXTRAS</t>
  </si>
  <si>
    <t>MJ</t>
  </si>
  <si>
    <t>Gran TOTAL</t>
  </si>
  <si>
    <t>TRANSCOM</t>
  </si>
  <si>
    <t>Quincena 1</t>
  </si>
  <si>
    <t>Salary</t>
  </si>
  <si>
    <t xml:space="preserve">martes </t>
  </si>
  <si>
    <t>miercoles</t>
  </si>
  <si>
    <t>jueves</t>
  </si>
  <si>
    <t>viernes</t>
  </si>
  <si>
    <t>sábado</t>
  </si>
  <si>
    <t>domingo</t>
  </si>
  <si>
    <t>OT</t>
  </si>
  <si>
    <t>S-H</t>
  </si>
  <si>
    <t>Night</t>
  </si>
  <si>
    <t>Food</t>
  </si>
  <si>
    <t>Transp</t>
  </si>
  <si>
    <t>Bonus</t>
  </si>
  <si>
    <t>Total 1</t>
  </si>
  <si>
    <t>Quincena 2</t>
  </si>
  <si>
    <t>Total 2</t>
  </si>
  <si>
    <t>TOTAL</t>
  </si>
  <si>
    <t>3 Years</t>
  </si>
  <si>
    <t>5 Years</t>
  </si>
  <si>
    <t>BPopular</t>
  </si>
  <si>
    <t>Bancolombia</t>
  </si>
  <si>
    <t>Cuota</t>
  </si>
  <si>
    <t>Pago</t>
  </si>
  <si>
    <t>Abono</t>
  </si>
  <si>
    <t>Valor</t>
  </si>
  <si>
    <t>Davivienda</t>
  </si>
  <si>
    <t>RappiPay</t>
  </si>
  <si>
    <t>Abono 50.000 "2-Feb-26". Saldo $100.000</t>
  </si>
  <si>
    <t>Pendiente</t>
  </si>
  <si>
    <t>Saldo Pendiente:</t>
  </si>
  <si>
    <t>Total a pagar para disminuir</t>
  </si>
  <si>
    <t>Fecha</t>
  </si>
  <si>
    <t>Cuotas</t>
  </si>
  <si>
    <t>Cuotas Pend</t>
  </si>
  <si>
    <t>TX</t>
  </si>
  <si>
    <t>Avance Shakira</t>
  </si>
  <si>
    <t>Pasajes Medellin</t>
  </si>
  <si>
    <t>Amazon</t>
  </si>
  <si>
    <t>Odontologia</t>
  </si>
  <si>
    <t>Celular Rafa</t>
  </si>
  <si>
    <t>Bateria Moto</t>
  </si>
  <si>
    <t>Computador</t>
  </si>
  <si>
    <t>Aliexpress</t>
  </si>
  <si>
    <t>Platzi</t>
  </si>
  <si>
    <t>Impuesto 2021</t>
  </si>
  <si>
    <t>Column 1</t>
  </si>
  <si>
    <t>Kilometraje</t>
  </si>
  <si>
    <t>Kilometraje 2</t>
  </si>
  <si>
    <t>Fecha 2</t>
  </si>
  <si>
    <t>Kilometraje 3</t>
  </si>
  <si>
    <t>Fecha 3</t>
  </si>
  <si>
    <t>Kilometraje 4</t>
  </si>
  <si>
    <t>Fecha 4</t>
  </si>
  <si>
    <t>Lunes</t>
  </si>
  <si>
    <t>Martes</t>
  </si>
  <si>
    <t>Miércoles</t>
  </si>
  <si>
    <t>Jueves</t>
  </si>
  <si>
    <t>Viernes</t>
  </si>
  <si>
    <t>Sábado</t>
  </si>
  <si>
    <t>Domingo</t>
  </si>
  <si>
    <t>Llanta Delantera</t>
  </si>
  <si>
    <t>Llanta Trasera</t>
  </si>
  <si>
    <t>Kit de Arrastre</t>
  </si>
  <si>
    <t>Aceite</t>
  </si>
  <si>
    <t>Suspensión</t>
  </si>
  <si>
    <t>Pastillas Delantera</t>
  </si>
  <si>
    <t>Pastillas Traseras</t>
  </si>
  <si>
    <t>Técnico Mecánica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</si>
</sst>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-&quot;yy"/>
    <numFmt numFmtId="165" formatCode="&quot;$&quot;#,##0"/>
    <numFmt numFmtId="166" formatCode="d&quot;-&quot;mmm&quot;-&quot;yy"/>
    <numFmt numFmtId="167" formatCode="mm/dd/yy"/>
    <numFmt numFmtId="168" formatCode="&quot;$&quot;#,##0.00"/>
    <numFmt numFmtId="169" formatCode="d mmm"/>
  </numFmts>
  <fonts count="1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7.0"/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i/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textRotation="90" vertical="center"/>
    </xf>
    <xf borderId="0" fillId="0" fontId="2" numFmtId="0" xfId="0" applyAlignment="1" applyFont="1">
      <alignment horizontal="center" readingOrder="0" vertical="center"/>
    </xf>
    <xf borderId="1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4" numFmtId="165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1" fillId="0" fontId="4" numFmtId="165" xfId="0" applyBorder="1" applyFont="1" applyNumberFormat="1"/>
    <xf borderId="0" fillId="0" fontId="4" numFmtId="165" xfId="0" applyFont="1" applyNumberFormat="1"/>
    <xf borderId="1" fillId="0" fontId="2" numFmtId="165" xfId="0" applyBorder="1" applyFont="1" applyNumberFormat="1"/>
    <xf borderId="0" fillId="0" fontId="2" numFmtId="165" xfId="0" applyFont="1" applyNumberFormat="1"/>
    <xf borderId="0" fillId="0" fontId="4" numFmtId="0" xfId="0" applyAlignment="1" applyFont="1">
      <alignment textRotation="90"/>
    </xf>
    <xf borderId="0" fillId="0" fontId="4" numFmtId="0" xfId="0" applyAlignment="1" applyFont="1">
      <alignment horizontal="center" vertical="center"/>
    </xf>
    <xf borderId="1" fillId="2" fontId="4" numFmtId="165" xfId="0" applyAlignment="1" applyBorder="1" applyFill="1" applyFont="1" applyNumberFormat="1">
      <alignment readingOrder="0"/>
    </xf>
    <xf borderId="1" fillId="2" fontId="4" numFmtId="165" xfId="0" applyAlignment="1" applyBorder="1" applyFont="1" applyNumberFormat="1">
      <alignment readingOrder="0"/>
    </xf>
    <xf borderId="0" fillId="0" fontId="1" numFmtId="0" xfId="0" applyAlignment="1" applyFont="1">
      <alignment horizontal="center" textRotation="9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vertical="center"/>
    </xf>
    <xf borderId="1" fillId="3" fontId="4" numFmtId="165" xfId="0" applyAlignment="1" applyBorder="1" applyFill="1" applyFont="1" applyNumberFormat="1">
      <alignment readingOrder="0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4" fontId="4" numFmtId="165" xfId="0" applyBorder="1" applyFill="1" applyFont="1" applyNumberFormat="1"/>
    <xf borderId="1" fillId="4" fontId="4" numFmtId="165" xfId="0" applyAlignment="1" applyBorder="1" applyFont="1" applyNumberFormat="1">
      <alignment readingOrder="0"/>
    </xf>
    <xf borderId="1" fillId="2" fontId="4" numFmtId="165" xfId="0" applyBorder="1" applyFont="1" applyNumberFormat="1"/>
    <xf borderId="5" fillId="0" fontId="1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1" fillId="2" fontId="2" numFmtId="165" xfId="0" applyAlignment="1" applyBorder="1" applyFont="1" applyNumberFormat="1">
      <alignment readingOrder="0"/>
    </xf>
    <xf borderId="1" fillId="2" fontId="2" numFmtId="165" xfId="0" applyBorder="1" applyFont="1" applyNumberFormat="1"/>
    <xf borderId="8" fillId="0" fontId="3" numFmtId="0" xfId="0" applyBorder="1" applyFont="1"/>
    <xf borderId="9" fillId="0" fontId="3" numFmtId="0" xfId="0" applyBorder="1" applyFont="1"/>
    <xf borderId="0" fillId="0" fontId="2" numFmtId="165" xfId="0" applyAlignment="1" applyFont="1" applyNumberFormat="1">
      <alignment textRotation="90"/>
    </xf>
    <xf borderId="0" fillId="0" fontId="5" numFmtId="0" xfId="0" applyAlignment="1" applyFont="1">
      <alignment horizontal="center" readingOrder="0" textRotation="90" vertical="center"/>
    </xf>
    <xf borderId="5" fillId="0" fontId="2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0"/>
    </xf>
    <xf borderId="14" fillId="0" fontId="3" numFmtId="0" xfId="0" applyBorder="1" applyFont="1"/>
    <xf borderId="1" fillId="4" fontId="2" numFmtId="165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4" numFmtId="165" xfId="0" applyAlignment="1" applyFont="1" applyNumberFormat="1">
      <alignment horizontal="center" vertical="center"/>
    </xf>
    <xf borderId="15" fillId="0" fontId="3" numFmtId="0" xfId="0" applyBorder="1" applyFont="1"/>
    <xf borderId="1" fillId="0" fontId="2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3" xfId="0" applyAlignment="1" applyBorder="1" applyFont="1" applyNumberFormat="1">
      <alignment readingOrder="0"/>
    </xf>
    <xf borderId="1" fillId="0" fontId="4" numFmtId="3" xfId="0" applyBorder="1" applyFont="1" applyNumberFormat="1"/>
    <xf borderId="1" fillId="0" fontId="2" numFmtId="165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5" fontId="2" numFmtId="165" xfId="0" applyBorder="1" applyFill="1" applyFont="1" applyNumberFormat="1"/>
    <xf borderId="1" fillId="5" fontId="2" numFmtId="165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0" fontId="4" numFmtId="166" xfId="0" applyAlignment="1" applyBorder="1" applyFont="1" applyNumberFormat="1">
      <alignment readingOrder="0"/>
    </xf>
    <xf borderId="0" fillId="0" fontId="4" numFmtId="46" xfId="0" applyFont="1" applyNumberFormat="1"/>
    <xf borderId="0" fillId="0" fontId="6" numFmtId="4" xfId="0" applyFont="1" applyNumberFormat="1"/>
    <xf borderId="1" fillId="6" fontId="7" numFmtId="165" xfId="0" applyAlignment="1" applyBorder="1" applyFill="1" applyFont="1" applyNumberFormat="1">
      <alignment horizontal="center" readingOrder="0"/>
    </xf>
    <xf borderId="0" fillId="0" fontId="4" numFmtId="167" xfId="0" applyAlignment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1" fillId="7" fontId="2" numFmtId="165" xfId="0" applyBorder="1" applyFill="1" applyFont="1" applyNumberFormat="1"/>
    <xf borderId="2" fillId="0" fontId="2" numFmtId="165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1" fillId="0" fontId="4" numFmtId="166" xfId="0" applyAlignment="1" applyBorder="1" applyFont="1" applyNumberFormat="1">
      <alignment horizontal="center" readingOrder="0" vertical="center"/>
    </xf>
    <xf borderId="1" fillId="0" fontId="8" numFmtId="3" xfId="0" applyAlignment="1" applyBorder="1" applyFont="1" applyNumberFormat="1">
      <alignment horizontal="center" readingOrder="0" vertical="center"/>
    </xf>
    <xf borderId="2" fillId="0" fontId="8" numFmtId="165" xfId="0" applyAlignment="1" applyBorder="1" applyFont="1" applyNumberFormat="1">
      <alignment readingOrder="0" vertical="center"/>
    </xf>
    <xf borderId="1" fillId="0" fontId="8" numFmtId="165" xfId="0" applyAlignment="1" applyBorder="1" applyFont="1" applyNumberFormat="1">
      <alignment horizontal="right" vertical="center"/>
    </xf>
    <xf borderId="1" fillId="0" fontId="8" numFmtId="165" xfId="0" applyAlignment="1" applyBorder="1" applyFont="1" applyNumberFormat="1">
      <alignment horizontal="right" readingOrder="0" vertical="center"/>
    </xf>
    <xf borderId="1" fillId="0" fontId="8" numFmtId="165" xfId="0" applyAlignment="1" applyBorder="1" applyFont="1" applyNumberFormat="1">
      <alignment readingOrder="0" vertical="center"/>
    </xf>
    <xf borderId="0" fillId="2" fontId="4" numFmtId="165" xfId="0" applyFont="1" applyNumberFormat="1"/>
    <xf borderId="0" fillId="0" fontId="9" numFmtId="165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  <xf borderId="0" fillId="0" fontId="11" numFmtId="165" xfId="0" applyFont="1" applyNumberFormat="1"/>
    <xf borderId="0" fillId="0" fontId="12" numFmtId="165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4" xfId="0" applyAlignment="1" applyFont="1" applyNumberFormat="1">
      <alignment readingOrder="0"/>
    </xf>
    <xf borderId="0" fillId="0" fontId="11" numFmtId="2" xfId="0" applyFont="1" applyNumberFormat="1"/>
    <xf borderId="0" fillId="0" fontId="11" numFmtId="168" xfId="0" applyFont="1" applyNumberFormat="1"/>
    <xf borderId="0" fillId="0" fontId="11" numFmtId="0" xfId="0" applyFont="1"/>
    <xf borderId="0" fillId="0" fontId="4" numFmtId="168" xfId="0" applyAlignment="1" applyFont="1" applyNumberForma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169" xfId="0" applyAlignment="1" applyFont="1" applyNumberFormat="1">
      <alignment readingOrder="0" shrinkToFit="0" vertical="center" wrapText="0"/>
    </xf>
    <xf borderId="0" fillId="0" fontId="4" numFmtId="166" xfId="0" applyAlignment="1" applyFont="1" applyNumberFormat="1">
      <alignment horizontal="center" vertical="center"/>
    </xf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8EFF8E"/>
          <bgColor rgb="FF8EFF8E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7FF6D"/>
          <bgColor rgb="FFE7FF6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to-style">
      <tableStyleElement dxfId="7" type="headerRow"/>
      <tableStyleElement dxfId="8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a Herrera" id="{fc6227fa-4cd3-4222-a0d8-441aa1df910a}" providerId="google-sheets"/>
</x18tc:personList>
</file>

<file path=xl/tables/table1.xml><?xml version="1.0" encoding="utf-8"?>
<table xmlns="http://schemas.openxmlformats.org/spreadsheetml/2006/main" ref="A1:I9" displayName="Table1" name="Table1" id="1">
  <tableColumns count="9">
    <tableColumn name="Column 1" id="1"/>
    <tableColumn name="Kilometraje" id="2"/>
    <tableColumn name="Fecha" id="3"/>
    <tableColumn name="Kilometraje 2" id="4"/>
    <tableColumn name="Fecha 2" id="5"/>
    <tableColumn name="Kilometraje 3" id="6"/>
    <tableColumn name="Fecha 3" id="7"/>
    <tableColumn name="Kilometraje 4" id="8"/>
    <tableColumn name="Fecha 4" id="9"/>
  </tableColumns>
  <tableStyleInfo name="Mo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" dT="2025-05-21T14:16:53.00" personId="{fc6227fa-4cd3-4222-a0d8-441aa1df910a}" id="{a89789e0-1a08-4d6d-81e7-c30bf3ac6530}" done="1">
    <x18tc:text xml:space="preserve">Cesantias</x18tc:text>
  </x18tc:threadedComment>
  <x18tc:threadedComment ref="E42" dT="2025-05-21T14:07:28.00" personId="{fc6227fa-4cd3-4222-a0d8-441aa1df910a}" id="{df2435d5-4058-4521-82a5-59d4e2288467}" done="0">
    <x18tc:text xml:space="preserve">Tennis Sarah</x18tc:text>
  </x18tc:threadedComment>
  <x18tc:threadedComment ref="M104" dT="2026-02-11T20:15:43.00" personId="{fc6227fa-4cd3-4222-a0d8-441aa1df910a}" id="{27ae1f9c-0afd-4d9a-859e-61e001b33216}" done="0">
    <x18tc:text xml:space="preserve">2 tarjetas
https://m.serlefin.com/LCP/?i=amYp/27XbvSR/95</x18tc:text>
    <x18tc:extLst>
      <ext uri="{F7C98A9C-CBB3-438F-8F68-D28B6AF4A901}">
        <xltc2:checksum/>
        <xltc2:hyperlink startIndex="12" length="45" url="https://m.serlefin.com/LCP/?i=amYp/27XbvSR/95"/>
      </ext>
    </x18tc:extLst>
  </x18tc:threadedComment>
  <x18tc:threadedComment ref="F42" dT="2025-05-21T16:19:42.00" personId="{fc6227fa-4cd3-4222-a0d8-441aa1df910a}" id="{ffcf15a3-b828-4549-9d82-b41d5ec71f02}" done="0">
    <x18tc:text xml:space="preserve">Cumpleaños Sarah</x18tc:text>
  </x18tc:threadedComment>
  <x18tc:threadedComment ref="F74" dT="2025-06-02T11:20:37.00" personId="{fc6227fa-4cd3-4222-a0d8-441aa1df910a}" id="{663a15a0-b781-4c81-9f24-1565ca7735b4}" done="0">
    <x18tc:text xml:space="preserve">Deivi 100.000
Cadavid 75.000</x18tc:text>
  </x18tc:threadedComment>
  <x18tc:threadedComment ref="M107" dT="2026-02-11T20:21:18.00" personId="{fc6227fa-4cd3-4222-a0d8-441aa1df910a}" id="{580a2201-8dbd-4a22-a1ac-5cc4d11f34e6}" done="0">
    <x18tc:text xml:space="preserve">https://mail.google.com/mail/u/0/#search/rappipay/FMfcgzGtxSxFRpcZMpLrhMzhzvskxVSF</x18tc:text>
    <x18tc:extLst>
      <ext uri="{F7C98A9C-CBB3-438F-8F68-D28B6AF4A901}">
        <xltc2:checksum/>
        <xltc2:hyperlink startIndex="0" length="82" url="https://mail.google.com/mail/u/0/#search/rappipay/FMfcgzGtxSxFRpcZMpLrhMzhzvskxVSF"/>
      </ext>
    </x18tc:extLst>
  </x18tc:threadedComment>
  <x18tc:threadedComment ref="E41" dT="2025-05-08T11:45:11.00" personId="{fc6227fa-4cd3-4222-a0d8-441aa1df910a}" id="{a8c09a28-3943-4b3c-935b-fcebab02ba16}" done="1">
    <x18tc:text xml:space="preserve">Lafayette</x18tc:text>
  </x18tc:threadedComment>
  <x18tc:threadedComment ref="E41" dT="2025-05-21T14:09:02.00" personId="{fc6227fa-4cd3-4222-a0d8-441aa1df910a}" id="{d0cd7eb6-a004-4ae5-890b-32026d9861b5}" parentId="{a8c09a28-3943-4b3c-935b-fcebab02ba16}">
    <x18tc:text xml:space="preserve">Deuda $141.000 Sudaderas + 311.000 Lafayette = $452.000
Abono $115.000 Tennis
Abono $30.000 Cargador
Saldo $307.000</x18tc:text>
  </x18tc:threadedComment>
  <x18tc:threadedComment ref="L5" dT="2025-05-30T12:43:03.00" personId="{fc6227fa-4cd3-4222-a0d8-441aa1df910a}" id="{bf6f7053-0a35-46a0-a40d-9bfda70ee03c}" done="0">
    <x18tc:text xml:space="preserve">Prima $1.000.000
Vacaciones $1.000.000</x18tc:text>
  </x18tc:threadedComment>
  <x18tc:threadedComment ref="P43" dT="2026-04-30T14:46:02.00" personId="{fc6227fa-4cd3-4222-a0d8-441aa1df910a}" id="{d5d2db1a-1198-4bc7-b7d7-6126e6e7c5bc}" done="0">
    <x18tc:text xml:space="preserve">Movistar Sarah</x18tc:text>
  </x18tc:threadedComment>
  <x18tc:threadedComment ref="E5" dT="2025-05-31T14:29:28.00" personId="{fc6227fa-4cd3-4222-a0d8-441aa1df910a}" id="{d04e3256-7bdf-46c9-bb99-13acd974519d}" done="0">
    <x18tc:text xml:space="preserve">Cesantias $776.000</x18tc:text>
  </x18tc:threadedComment>
  <x18tc:threadedComment ref="E74" dT="2025-05-06T18:06:26.00" personId="{fc6227fa-4cd3-4222-a0d8-441aa1df910a}" id="{5da3908a-3228-4187-a72a-01472215ebfd}" done="1">
    <x18tc:text xml:space="preserve">Pantalón antifricción $179.000
Taller - Coronas $320.000</x18tc:text>
  </x18tc:threadedComment>
  <x18tc:threadedComment ref="Q42" dT="2026-05-08T00:24:02.00" personId="{fc6227fa-4cd3-4222-a0d8-441aa1df910a}" id="{896a82c9-517c-4c4e-9d48-d6e172d5b98f}" done="0">
    <x18tc:text xml:space="preserve">Ortodoncia</x18tc:text>
  </x18tc:threadedComment>
  <x18tc:threadedComment ref="O40" dT="2026-03-05T19:46:30.00" personId="{fc6227fa-4cd3-4222-a0d8-441aa1df910a}" id="{32272fd3-5128-4c42-b5f3-f1cf177cde8f}" done="0">
    <x18tc:text xml:space="preserve">ICFES</x18tc:text>
  </x18tc:threadedComment>
  <x18tc:threadedComment ref="O41" dT="2026-03-05T19:46:42.00" personId="{fc6227fa-4cd3-4222-a0d8-441aa1df910a}" id="{932b2eff-acb0-4107-ae96-715364f3b1c4}" done="0">
    <x18tc:text xml:space="preserve">Pre ICFES</x18tc:text>
  </x18tc:threadedComment>
  <x18tc:threadedComment ref="E43" dT="2025-05-22T13:01:22.00" personId="{fc6227fa-4cd3-4222-a0d8-441aa1df910a}" id="{6feb68ce-79e0-4311-b531-fe532f223bba}" done="0">
    <x18tc:text xml:space="preserve">Pasajes Fusa-Bog</x18tc:text>
  </x18tc:threadedComment>
  <x18tc:threadedComment ref="E43" dT="2025-05-28T15:54:05.00" personId="{fc6227fa-4cd3-4222-a0d8-441aa1df910a}" id="{90f9603f-70b9-4644-83c5-187fef394a74}" parentId="{6feb68ce-79e0-4311-b531-fe532f223bba}">
    <x18tc:text xml:space="preserve">Pasajes Bog-Fusa</x18tc:text>
  </x18tc:threadedComment>
  <x18tc:threadedComment ref="P43" dT="2026-04-16T16:27:56.00" personId="{fc6227fa-4cd3-4222-a0d8-441aa1df910a}" id="{2f511bc1-be1e-4934-a364-606e3d81bf3e}" done="1">
    <x18tc:text xml:space="preserve">Movistar Sarah</x18tc:text>
  </x18tc:threadedComment>
  <x18tc:threadedComment ref="O42" dT="2026-03-05T19:46:54.00" personId="{fc6227fa-4cd3-4222-a0d8-441aa1df910a}" id="{f18c378e-4592-476e-9a36-d7a37adc3d45}" done="0">
    <x18tc:text xml:space="preserve">Movistar</x18tc:text>
  </x18tc:threadedComment>
  <x18tc:threadedComment ref="M105" dT="2026-02-11T20:11:26.00" personId="{fc6227fa-4cd3-4222-a0d8-441aa1df910a}" id="{5dd92968-0126-4a04-9f8b-05402d7e8506}" done="0">
    <x18tc:text xml:space="preserve">Libranza
https://m.serlefin.com/LCP/?i=amYp/4XKYIf2/89</x18tc:text>
    <x18tc:extLst>
      <ext uri="{F7C98A9C-CBB3-438F-8F68-D28B6AF4A901}">
        <xltc2:checksum/>
        <xltc2:hyperlink startIndex="10" length="45" url="https://m.serlefin.com/LCP/?i=amYp/4XKYIf2/89"/>
      </ext>
    </x18tc:extLst>
  </x18tc:threadedComment>
  <x18tc:threadedComment ref="E35" dT="2025-05-06T14:59:18.00" personId="{fc6227fa-4cd3-4222-a0d8-441aa1df910a}" id="{d6d66428-4805-428d-8fa8-3d7a187c12b9}" done="0">
    <x18tc:text xml:space="preserve">Saldo $326.000</x18tc:text>
  </x18tc:threadedComment>
  <x18tc:threadedComment ref="E40" dT="2025-05-06T14:22:55.00" personId="{fc6227fa-4cd3-4222-a0d8-441aa1df910a}" id="{0374f2b3-85f2-4585-8f5c-11fb110a26ec}" done="0">
    <x18tc:text xml:space="preserve">6 mayo 25 - pa los dulces</x18tc:text>
  </x18tc:threadedComment>
  <x18tc:threadedComment ref="F41" dT="2025-05-22T13:01:48.00" personId="{fc6227fa-4cd3-4222-a0d8-441aa1df910a}" id="{df20a160-010b-430e-8491-c5d4c26998a2}" done="1">
    <x18tc:text xml:space="preserve">Saldo Rodrigo</x18tc:text>
  </x18tc:threadedComment>
  <x18tc:threadedComment ref="F5" dT="2025-05-13T14:31:30.00" personId="{fc6227fa-4cd3-4222-a0d8-441aa1df910a}" id="{9f9a3a8a-2b4a-4117-a3a6-0da550d28db4}" done="0">
    <x18tc:text xml:space="preserve">Prima 20 junio</x18tc:text>
  </x18tc:threadedComment>
  <x18tc:threadedComment ref="E74" dT="2025-05-12T20:33:02.00" personId="{fc6227fa-4cd3-4222-a0d8-441aa1df910a}" id="{b3e838d9-4655-4b21-a513-3dbe6c382391}" done="0">
    <x18tc:text xml:space="preserve">pantalon antifriccion $179.000
taller electrico $320.000</x18tc:text>
  </x18tc:threadedComment>
  <x18tc:threadedComment ref="P40" dT="2026-04-16T16:26:49.00" personId="{fc6227fa-4cd3-4222-a0d8-441aa1df910a}" id="{1e334c83-3441-453b-9e0f-4d3b9fd0a54e}" done="0">
    <x18tc:text xml:space="preserve">FILBO 2026</x18tc:text>
  </x18tc:threadedComment>
  <x18tc:threadedComment ref="M103" dT="2026-02-11T20:15:13.00" personId="{fc6227fa-4cd3-4222-a0d8-441aa1df910a}" id="{fe7af7aa-2d9a-40f9-8cd0-c81703159395}" done="0">
    <x18tc:text xml:space="preserve">1 tarjeta y 1 virtual 
https://m.serlefin.com/LCP/?i=amYp/4DMcsPc/97</x18tc:text>
    <x18tc:extLst>
      <ext uri="{F7C98A9C-CBB3-438F-8F68-D28B6AF4A901}">
        <xltc2:checksum/>
        <xltc2:hyperlink startIndex="24" length="45" url="https://m.serlefin.com/LCP/?i=amYp/4DMcsPc/97"/>
      </ext>
    </x18tc:extLst>
  </x18tc:threadedComment>
  <x18tc:threadedComment ref="F43" dT="2025-06-18T18:28:57.00" personId="{fc6227fa-4cd3-4222-a0d8-441aa1df910a}" id="{f9343e12-e9e2-4cf9-ba0f-13cfb707ec38}" done="0">
    <x18tc:text xml:space="preserve">Confección Camisas</x18tc:text>
  </x18tc:threadedComment>
  <x18tc:threadedComment ref="O43" dT="2026-03-05T19:47:08.00" personId="{fc6227fa-4cd3-4222-a0d8-441aa1df910a}" id="{a3c515be-c371-4b33-b3d5-b65ba487875a}" done="0">
    <x18tc:text xml:space="preserve">Ortodoncia</x18tc:text>
  </x18tc:threadedComment>
  <x18tc:threadedComment ref="Q42" dT="2026-05-04T22:49:40.00" personId="{fc6227fa-4cd3-4222-a0d8-441aa1df910a}" id="{277c8207-1c7e-4442-b1e4-865aa279d1c2}" done="1">
    <x18tc:text xml:space="preserve">Ortodoncia
May 6</x18tc:text>
  </x18tc:threadedComment>
  <x18tc:threadedComment ref="E41" dT="2025-05-22T13:00:32.00" personId="{fc6227fa-4cd3-4222-a0d8-441aa1df910a}" id="{6fab9a93-e7fe-4672-b110-44a77ba9f36b}" done="0">
    <x18tc:text xml:space="preserve">311.000 lafayette
47.000*3 = 141.000sudaderas
total 452.000
Abonos 
120.000 tennis
30.000 cargador
200.000 nequi
Saldo 100.000</x18tc:text>
  </x18tc:threadedComment>
  <x18tc:threadedComment ref="P42" dT="2026-04-16T16:27:39.00" personId="{fc6227fa-4cd3-4222-a0d8-441aa1df910a}" id="{7615e17e-a339-4e93-a3da-6a163c74ea91}" done="0">
    <x18tc:text xml:space="preserve">Creatina 1kg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9.75"/>
    <col customWidth="1" min="3" max="3" width="10.25"/>
    <col customWidth="1" min="4" max="4" width="9.38"/>
    <col customWidth="1" hidden="1" min="5" max="11" width="10.63"/>
    <col customWidth="1" min="12" max="28" width="10.63"/>
  </cols>
  <sheetData>
    <row r="1">
      <c r="A1" s="1"/>
      <c r="B1" s="2"/>
      <c r="C1" s="2"/>
      <c r="D1" s="2"/>
      <c r="E1" s="3">
        <v>45778.0</v>
      </c>
      <c r="F1" s="3">
        <f t="shared" ref="F1:Y1" si="1">E1+31</f>
        <v>45809</v>
      </c>
      <c r="G1" s="3">
        <f t="shared" si="1"/>
        <v>45840</v>
      </c>
      <c r="H1" s="3">
        <f t="shared" si="1"/>
        <v>45871</v>
      </c>
      <c r="I1" s="3">
        <f t="shared" si="1"/>
        <v>45902</v>
      </c>
      <c r="J1" s="3">
        <f t="shared" si="1"/>
        <v>45933</v>
      </c>
      <c r="K1" s="3">
        <f t="shared" si="1"/>
        <v>45964</v>
      </c>
      <c r="L1" s="3">
        <f t="shared" si="1"/>
        <v>45995</v>
      </c>
      <c r="M1" s="3">
        <f t="shared" si="1"/>
        <v>46026</v>
      </c>
      <c r="N1" s="3">
        <f t="shared" si="1"/>
        <v>46057</v>
      </c>
      <c r="O1" s="3">
        <f t="shared" si="1"/>
        <v>46088</v>
      </c>
      <c r="P1" s="3">
        <f t="shared" si="1"/>
        <v>46119</v>
      </c>
      <c r="Q1" s="3">
        <f t="shared" si="1"/>
        <v>46150</v>
      </c>
      <c r="R1" s="3">
        <f t="shared" si="1"/>
        <v>46181</v>
      </c>
      <c r="S1" s="3">
        <f t="shared" si="1"/>
        <v>46212</v>
      </c>
      <c r="T1" s="3">
        <f t="shared" si="1"/>
        <v>46243</v>
      </c>
      <c r="U1" s="3">
        <f t="shared" si="1"/>
        <v>46274</v>
      </c>
      <c r="V1" s="3">
        <f t="shared" si="1"/>
        <v>46305</v>
      </c>
      <c r="W1" s="3">
        <f t="shared" si="1"/>
        <v>46336</v>
      </c>
      <c r="X1" s="3">
        <f t="shared" si="1"/>
        <v>46367</v>
      </c>
      <c r="Y1" s="3">
        <f t="shared" si="1"/>
        <v>46398</v>
      </c>
      <c r="Z1" s="4"/>
      <c r="AA1" s="4"/>
      <c r="AB1" s="4"/>
    </row>
    <row r="2">
      <c r="A2" s="1" t="s">
        <v>0</v>
      </c>
      <c r="B2" s="5" t="s">
        <v>1</v>
      </c>
      <c r="C2" s="6"/>
      <c r="D2" s="7"/>
      <c r="E2" s="8">
        <f>1020000+950000</f>
        <v>1970000</v>
      </c>
      <c r="F2" s="8">
        <f t="shared" ref="F2:J2" si="2">1020000+1020000</f>
        <v>2040000</v>
      </c>
      <c r="G2" s="8">
        <f t="shared" si="2"/>
        <v>2040000</v>
      </c>
      <c r="H2" s="8">
        <f t="shared" si="2"/>
        <v>2040000</v>
      </c>
      <c r="I2" s="8">
        <f t="shared" si="2"/>
        <v>2040000</v>
      </c>
      <c r="J2" s="8">
        <f t="shared" si="2"/>
        <v>2040000</v>
      </c>
      <c r="K2" s="8">
        <f t="shared" ref="K2:Y2" si="3">K96</f>
        <v>3596381.818</v>
      </c>
      <c r="L2" s="8">
        <f t="shared" si="3"/>
        <v>3530567.273</v>
      </c>
      <c r="M2" s="8">
        <f t="shared" si="3"/>
        <v>3429869.091</v>
      </c>
      <c r="N2" s="8">
        <f t="shared" si="3"/>
        <v>0</v>
      </c>
      <c r="O2" s="8">
        <f t="shared" si="3"/>
        <v>0</v>
      </c>
      <c r="P2" s="8">
        <f t="shared" si="3"/>
        <v>0</v>
      </c>
      <c r="Q2" s="8">
        <f t="shared" si="3"/>
        <v>0</v>
      </c>
      <c r="R2" s="8">
        <f t="shared" si="3"/>
        <v>0</v>
      </c>
      <c r="S2" s="8">
        <f t="shared" si="3"/>
        <v>0</v>
      </c>
      <c r="T2" s="8">
        <f t="shared" si="3"/>
        <v>0</v>
      </c>
      <c r="U2" s="8">
        <f t="shared" si="3"/>
        <v>0</v>
      </c>
      <c r="V2" s="8">
        <f t="shared" si="3"/>
        <v>0</v>
      </c>
      <c r="W2" s="8">
        <f t="shared" si="3"/>
        <v>0</v>
      </c>
      <c r="X2" s="8">
        <f t="shared" si="3"/>
        <v>0</v>
      </c>
      <c r="Y2" s="8">
        <f t="shared" si="3"/>
        <v>0</v>
      </c>
      <c r="Z2" s="9"/>
      <c r="AA2" s="9"/>
      <c r="AB2" s="9"/>
    </row>
    <row r="3">
      <c r="B3" s="5" t="s">
        <v>2</v>
      </c>
      <c r="C3" s="6"/>
      <c r="D3" s="7"/>
      <c r="E3" s="8"/>
      <c r="F3" s="8">
        <v>150000.0</v>
      </c>
      <c r="G3" s="8">
        <v>150000.0</v>
      </c>
      <c r="H3" s="8">
        <v>150000.0</v>
      </c>
      <c r="I3" s="8">
        <v>150000.0</v>
      </c>
      <c r="J3" s="8">
        <v>150000.0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9"/>
      <c r="AB3" s="9"/>
    </row>
    <row r="4">
      <c r="B4" s="5" t="s">
        <v>3</v>
      </c>
      <c r="C4" s="6"/>
      <c r="D4" s="7"/>
      <c r="E4" s="8">
        <f>3898000+48000</f>
        <v>3946000</v>
      </c>
      <c r="F4" s="8">
        <v>1100000.0</v>
      </c>
      <c r="G4" s="8">
        <v>1400000.0</v>
      </c>
      <c r="H4" s="8">
        <v>2400000.0</v>
      </c>
      <c r="I4" s="8">
        <v>2400000.0</v>
      </c>
      <c r="J4" s="8">
        <v>2400000.0</v>
      </c>
      <c r="K4" s="8">
        <v>0.0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9"/>
      <c r="AB4" s="9"/>
    </row>
    <row r="5">
      <c r="B5" s="5" t="s">
        <v>4</v>
      </c>
      <c r="C5" s="6"/>
      <c r="D5" s="7"/>
      <c r="E5" s="8">
        <v>776000.0</v>
      </c>
      <c r="F5" s="8">
        <v>1000000.0</v>
      </c>
      <c r="G5" s="10"/>
      <c r="H5" s="10"/>
      <c r="I5" s="10"/>
      <c r="J5" s="10"/>
      <c r="K5" s="10"/>
      <c r="L5" s="8"/>
      <c r="M5" s="10"/>
      <c r="N5" s="10"/>
      <c r="O5" s="10"/>
      <c r="P5" s="10"/>
      <c r="Q5" s="10"/>
      <c r="R5" s="8">
        <v>1050000.0</v>
      </c>
      <c r="S5" s="10"/>
      <c r="T5" s="10"/>
      <c r="U5" s="10"/>
      <c r="V5" s="10"/>
      <c r="W5" s="10"/>
      <c r="X5" s="10">
        <f>1050000*2</f>
        <v>2100000</v>
      </c>
      <c r="Y5" s="10"/>
      <c r="Z5" s="11"/>
      <c r="AA5" s="11"/>
      <c r="AB5" s="11"/>
    </row>
    <row r="6">
      <c r="B6" s="5" t="s">
        <v>5</v>
      </c>
      <c r="C6" s="6"/>
      <c r="D6" s="7"/>
      <c r="E6" s="12">
        <f t="shared" ref="E6:Y6" si="4">SUM(E2:E5)</f>
        <v>6692000</v>
      </c>
      <c r="F6" s="12">
        <f t="shared" si="4"/>
        <v>4290000</v>
      </c>
      <c r="G6" s="12">
        <f t="shared" si="4"/>
        <v>3590000</v>
      </c>
      <c r="H6" s="12">
        <f t="shared" si="4"/>
        <v>4590000</v>
      </c>
      <c r="I6" s="12">
        <f t="shared" si="4"/>
        <v>4590000</v>
      </c>
      <c r="J6" s="12">
        <f t="shared" si="4"/>
        <v>4590000</v>
      </c>
      <c r="K6" s="12">
        <f t="shared" si="4"/>
        <v>3596381.818</v>
      </c>
      <c r="L6" s="12">
        <f t="shared" si="4"/>
        <v>3530567.273</v>
      </c>
      <c r="M6" s="12">
        <f t="shared" si="4"/>
        <v>3429869.091</v>
      </c>
      <c r="N6" s="12">
        <f t="shared" si="4"/>
        <v>0</v>
      </c>
      <c r="O6" s="12">
        <f t="shared" si="4"/>
        <v>0</v>
      </c>
      <c r="P6" s="12">
        <f t="shared" si="4"/>
        <v>0</v>
      </c>
      <c r="Q6" s="12">
        <f t="shared" si="4"/>
        <v>0</v>
      </c>
      <c r="R6" s="12">
        <f t="shared" si="4"/>
        <v>1050000</v>
      </c>
      <c r="S6" s="12">
        <f t="shared" si="4"/>
        <v>0</v>
      </c>
      <c r="T6" s="12">
        <f t="shared" si="4"/>
        <v>0</v>
      </c>
      <c r="U6" s="12">
        <f t="shared" si="4"/>
        <v>0</v>
      </c>
      <c r="V6" s="12">
        <f t="shared" si="4"/>
        <v>0</v>
      </c>
      <c r="W6" s="12">
        <f t="shared" si="4"/>
        <v>0</v>
      </c>
      <c r="X6" s="12">
        <f t="shared" si="4"/>
        <v>2100000</v>
      </c>
      <c r="Y6" s="12">
        <f t="shared" si="4"/>
        <v>0</v>
      </c>
      <c r="Z6" s="13"/>
      <c r="AA6" s="13"/>
      <c r="AB6" s="13"/>
    </row>
    <row r="7">
      <c r="B7" s="5" t="s">
        <v>6</v>
      </c>
      <c r="C7" s="6"/>
      <c r="D7" s="7"/>
      <c r="E7" s="12">
        <f t="shared" ref="E7:Y7" si="5">E77</f>
        <v>6267320</v>
      </c>
      <c r="F7" s="12">
        <f t="shared" si="5"/>
        <v>5110271</v>
      </c>
      <c r="G7" s="12">
        <f t="shared" si="5"/>
        <v>3378000</v>
      </c>
      <c r="H7" s="12">
        <f t="shared" si="5"/>
        <v>3942000</v>
      </c>
      <c r="I7" s="12">
        <f t="shared" si="5"/>
        <v>4448800</v>
      </c>
      <c r="J7" s="12">
        <f t="shared" si="5"/>
        <v>3942000</v>
      </c>
      <c r="K7" s="12">
        <f t="shared" si="5"/>
        <v>2998000</v>
      </c>
      <c r="L7" s="12">
        <f t="shared" si="5"/>
        <v>4433000</v>
      </c>
      <c r="M7" s="12">
        <f t="shared" si="5"/>
        <v>3531000</v>
      </c>
      <c r="N7" s="12">
        <f t="shared" si="5"/>
        <v>4073000</v>
      </c>
      <c r="O7" s="12">
        <f t="shared" si="5"/>
        <v>4508414</v>
      </c>
      <c r="P7" s="12">
        <f t="shared" si="5"/>
        <v>4113000</v>
      </c>
      <c r="Q7" s="12">
        <f t="shared" si="5"/>
        <v>4004000</v>
      </c>
      <c r="R7" s="12">
        <f t="shared" si="5"/>
        <v>4622000</v>
      </c>
      <c r="S7" s="12">
        <f t="shared" si="5"/>
        <v>4175000</v>
      </c>
      <c r="T7" s="12">
        <f t="shared" si="5"/>
        <v>3413000</v>
      </c>
      <c r="U7" s="12">
        <f t="shared" si="5"/>
        <v>3684000</v>
      </c>
      <c r="V7" s="12">
        <f t="shared" si="5"/>
        <v>3319000</v>
      </c>
      <c r="W7" s="12">
        <f t="shared" si="5"/>
        <v>2914000</v>
      </c>
      <c r="X7" s="12">
        <f t="shared" si="5"/>
        <v>3185000</v>
      </c>
      <c r="Y7" s="12">
        <f t="shared" si="5"/>
        <v>2733000</v>
      </c>
      <c r="Z7" s="13"/>
      <c r="AA7" s="13"/>
      <c r="AB7" s="13"/>
    </row>
    <row r="8">
      <c r="B8" s="5" t="s">
        <v>7</v>
      </c>
      <c r="C8" s="6"/>
      <c r="D8" s="7"/>
      <c r="E8" s="12">
        <f t="shared" ref="E8:Y8" si="6">E6-E77</f>
        <v>424680</v>
      </c>
      <c r="F8" s="12">
        <f t="shared" si="6"/>
        <v>-820271</v>
      </c>
      <c r="G8" s="12">
        <f t="shared" si="6"/>
        <v>212000</v>
      </c>
      <c r="H8" s="12">
        <f t="shared" si="6"/>
        <v>648000</v>
      </c>
      <c r="I8" s="12">
        <f t="shared" si="6"/>
        <v>141200</v>
      </c>
      <c r="J8" s="12">
        <f t="shared" si="6"/>
        <v>648000</v>
      </c>
      <c r="K8" s="12">
        <f t="shared" si="6"/>
        <v>598381.8182</v>
      </c>
      <c r="L8" s="12">
        <f t="shared" si="6"/>
        <v>-902432.7273</v>
      </c>
      <c r="M8" s="12">
        <f t="shared" si="6"/>
        <v>-101130.9091</v>
      </c>
      <c r="N8" s="12">
        <f t="shared" si="6"/>
        <v>-4073000</v>
      </c>
      <c r="O8" s="12">
        <f t="shared" si="6"/>
        <v>-4508414</v>
      </c>
      <c r="P8" s="12">
        <f t="shared" si="6"/>
        <v>-4113000</v>
      </c>
      <c r="Q8" s="12">
        <f t="shared" si="6"/>
        <v>-4004000</v>
      </c>
      <c r="R8" s="12">
        <f t="shared" si="6"/>
        <v>-3572000</v>
      </c>
      <c r="S8" s="12">
        <f t="shared" si="6"/>
        <v>-4175000</v>
      </c>
      <c r="T8" s="12">
        <f t="shared" si="6"/>
        <v>-3413000</v>
      </c>
      <c r="U8" s="12">
        <f t="shared" si="6"/>
        <v>-3684000</v>
      </c>
      <c r="V8" s="12">
        <f t="shared" si="6"/>
        <v>-3319000</v>
      </c>
      <c r="W8" s="12">
        <f t="shared" si="6"/>
        <v>-2914000</v>
      </c>
      <c r="X8" s="12">
        <f t="shared" si="6"/>
        <v>-1085000</v>
      </c>
      <c r="Y8" s="12">
        <f t="shared" si="6"/>
        <v>-2733000</v>
      </c>
      <c r="Z8" s="13"/>
      <c r="AA8" s="13"/>
      <c r="AB8" s="13"/>
    </row>
    <row r="9">
      <c r="B9" s="5" t="s">
        <v>8</v>
      </c>
      <c r="C9" s="6"/>
      <c r="D9" s="7"/>
      <c r="E9" s="10"/>
      <c r="F9" s="10"/>
      <c r="G9" s="10">
        <f>G8</f>
        <v>212000</v>
      </c>
      <c r="H9" s="10">
        <f t="shared" ref="H9:Y9" si="7">G9+H8</f>
        <v>860000</v>
      </c>
      <c r="I9" s="10">
        <f t="shared" si="7"/>
        <v>1001200</v>
      </c>
      <c r="J9" s="10">
        <f t="shared" si="7"/>
        <v>1649200</v>
      </c>
      <c r="K9" s="10">
        <f t="shared" si="7"/>
        <v>2247581.818</v>
      </c>
      <c r="L9" s="10">
        <f t="shared" si="7"/>
        <v>1345149.091</v>
      </c>
      <c r="M9" s="10">
        <f t="shared" si="7"/>
        <v>1244018.182</v>
      </c>
      <c r="N9" s="10">
        <f t="shared" si="7"/>
        <v>-2828981.818</v>
      </c>
      <c r="O9" s="10">
        <f t="shared" si="7"/>
        <v>-7337395.818</v>
      </c>
      <c r="P9" s="10">
        <f t="shared" si="7"/>
        <v>-11450395.82</v>
      </c>
      <c r="Q9" s="10">
        <f t="shared" si="7"/>
        <v>-15454395.82</v>
      </c>
      <c r="R9" s="10">
        <f t="shared" si="7"/>
        <v>-19026395.82</v>
      </c>
      <c r="S9" s="10">
        <f t="shared" si="7"/>
        <v>-23201395.82</v>
      </c>
      <c r="T9" s="10">
        <f t="shared" si="7"/>
        <v>-26614395.82</v>
      </c>
      <c r="U9" s="10">
        <f t="shared" si="7"/>
        <v>-30298395.82</v>
      </c>
      <c r="V9" s="10">
        <f t="shared" si="7"/>
        <v>-33617395.82</v>
      </c>
      <c r="W9" s="10">
        <f t="shared" si="7"/>
        <v>-36531395.82</v>
      </c>
      <c r="X9" s="10">
        <f t="shared" si="7"/>
        <v>-37616395.82</v>
      </c>
      <c r="Y9" s="10">
        <f t="shared" si="7"/>
        <v>-40349395.82</v>
      </c>
      <c r="Z9" s="11"/>
      <c r="AA9" s="11"/>
      <c r="AB9" s="11"/>
    </row>
    <row r="10">
      <c r="A10" s="1"/>
      <c r="B10" s="2"/>
      <c r="C10" s="2"/>
      <c r="D10" s="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" t="s">
        <v>9</v>
      </c>
      <c r="B11" s="5" t="s">
        <v>10</v>
      </c>
      <c r="C11" s="6"/>
      <c r="D11" s="7"/>
      <c r="E11" s="8">
        <v>0.0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1"/>
      <c r="AA11" s="11"/>
      <c r="AB11" s="11"/>
    </row>
    <row r="12">
      <c r="B12" s="5" t="s">
        <v>11</v>
      </c>
      <c r="C12" s="6"/>
      <c r="D12" s="7"/>
      <c r="E12" s="8">
        <v>0.0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1"/>
      <c r="AA12" s="11"/>
      <c r="AB12" s="11"/>
    </row>
    <row r="13">
      <c r="B13" s="5" t="s">
        <v>12</v>
      </c>
      <c r="C13" s="6"/>
      <c r="D13" s="7"/>
      <c r="E13" s="12">
        <f t="shared" ref="E13:Y13" si="8">SUM(E11:E12)</f>
        <v>0</v>
      </c>
      <c r="F13" s="12">
        <f t="shared" si="8"/>
        <v>0</v>
      </c>
      <c r="G13" s="12">
        <f t="shared" si="8"/>
        <v>0</v>
      </c>
      <c r="H13" s="12">
        <f t="shared" si="8"/>
        <v>0</v>
      </c>
      <c r="I13" s="12">
        <f t="shared" si="8"/>
        <v>0</v>
      </c>
      <c r="J13" s="12">
        <f t="shared" si="8"/>
        <v>0</v>
      </c>
      <c r="K13" s="12">
        <f t="shared" si="8"/>
        <v>0</v>
      </c>
      <c r="L13" s="12">
        <f t="shared" si="8"/>
        <v>0</v>
      </c>
      <c r="M13" s="12">
        <f t="shared" si="8"/>
        <v>0</v>
      </c>
      <c r="N13" s="12">
        <f t="shared" si="8"/>
        <v>0</v>
      </c>
      <c r="O13" s="12">
        <f t="shared" si="8"/>
        <v>0</v>
      </c>
      <c r="P13" s="12">
        <f t="shared" si="8"/>
        <v>0</v>
      </c>
      <c r="Q13" s="12">
        <f t="shared" si="8"/>
        <v>0</v>
      </c>
      <c r="R13" s="12">
        <f t="shared" si="8"/>
        <v>0</v>
      </c>
      <c r="S13" s="12">
        <f t="shared" si="8"/>
        <v>0</v>
      </c>
      <c r="T13" s="12">
        <f t="shared" si="8"/>
        <v>0</v>
      </c>
      <c r="U13" s="12">
        <f t="shared" si="8"/>
        <v>0</v>
      </c>
      <c r="V13" s="12">
        <f t="shared" si="8"/>
        <v>0</v>
      </c>
      <c r="W13" s="12">
        <f t="shared" si="8"/>
        <v>0</v>
      </c>
      <c r="X13" s="12">
        <f t="shared" si="8"/>
        <v>0</v>
      </c>
      <c r="Y13" s="12">
        <f t="shared" si="8"/>
        <v>0</v>
      </c>
      <c r="Z13" s="13"/>
      <c r="AA13" s="13"/>
      <c r="AB13" s="13"/>
    </row>
    <row r="14">
      <c r="A14" s="14"/>
      <c r="B14" s="15"/>
      <c r="C14" s="15"/>
      <c r="D14" s="15"/>
    </row>
    <row r="15">
      <c r="A15" s="1" t="s">
        <v>13</v>
      </c>
      <c r="B15" s="5" t="s">
        <v>14</v>
      </c>
      <c r="C15" s="6"/>
      <c r="D15" s="7"/>
      <c r="E15" s="16">
        <v>88720.0</v>
      </c>
      <c r="F15" s="16">
        <v>103000.0</v>
      </c>
      <c r="G15" s="16">
        <v>89000.0</v>
      </c>
      <c r="H15" s="8">
        <v>100000.0</v>
      </c>
      <c r="I15" s="8">
        <v>100000.0</v>
      </c>
      <c r="J15" s="8">
        <v>100000.0</v>
      </c>
      <c r="K15" s="8">
        <v>100000.0</v>
      </c>
      <c r="L15" s="16">
        <v>100000.0</v>
      </c>
      <c r="M15" s="16">
        <v>124000.0</v>
      </c>
      <c r="N15" s="16">
        <v>100000.0</v>
      </c>
      <c r="O15" s="16">
        <v>100000.0</v>
      </c>
      <c r="P15" s="16">
        <v>100000.0</v>
      </c>
      <c r="Q15" s="16">
        <v>100000.0</v>
      </c>
      <c r="R15" s="16">
        <v>117000.0</v>
      </c>
      <c r="S15" s="8">
        <v>100000.0</v>
      </c>
      <c r="T15" s="8">
        <v>100000.0</v>
      </c>
      <c r="U15" s="8">
        <v>100000.0</v>
      </c>
      <c r="V15" s="8">
        <v>100000.0</v>
      </c>
      <c r="W15" s="8">
        <v>100000.0</v>
      </c>
      <c r="X15" s="8">
        <v>100000.0</v>
      </c>
      <c r="Y15" s="8">
        <v>100000.0</v>
      </c>
      <c r="Z15" s="9"/>
      <c r="AA15" s="9"/>
      <c r="AB15" s="9"/>
    </row>
    <row r="16">
      <c r="B16" s="5" t="s">
        <v>15</v>
      </c>
      <c r="C16" s="6"/>
      <c r="D16" s="7"/>
      <c r="E16" s="16">
        <v>58000.0</v>
      </c>
      <c r="F16" s="16">
        <v>53000.0</v>
      </c>
      <c r="G16" s="16">
        <v>50000.0</v>
      </c>
      <c r="H16" s="8">
        <v>50000.0</v>
      </c>
      <c r="I16" s="8">
        <v>50000.0</v>
      </c>
      <c r="J16" s="8">
        <v>50000.0</v>
      </c>
      <c r="K16" s="8">
        <v>50000.0</v>
      </c>
      <c r="L16" s="16">
        <v>50000.0</v>
      </c>
      <c r="M16" s="16">
        <v>50000.0</v>
      </c>
      <c r="N16" s="17">
        <v>63000.0</v>
      </c>
      <c r="O16" s="16">
        <v>74810.0</v>
      </c>
      <c r="P16" s="16">
        <v>65000.0</v>
      </c>
      <c r="Q16" s="16">
        <v>70000.0</v>
      </c>
      <c r="R16" s="16">
        <v>79000.0</v>
      </c>
      <c r="S16" s="8">
        <v>50000.0</v>
      </c>
      <c r="T16" s="8">
        <v>50000.0</v>
      </c>
      <c r="U16" s="8">
        <v>50000.0</v>
      </c>
      <c r="V16" s="8">
        <v>50000.0</v>
      </c>
      <c r="W16" s="8">
        <v>50000.0</v>
      </c>
      <c r="X16" s="8">
        <v>50000.0</v>
      </c>
      <c r="Y16" s="8">
        <v>50000.0</v>
      </c>
      <c r="Z16" s="9"/>
      <c r="AA16" s="9"/>
      <c r="AB16" s="9"/>
    </row>
    <row r="17">
      <c r="B17" s="5" t="s">
        <v>16</v>
      </c>
      <c r="C17" s="6"/>
      <c r="D17" s="7"/>
      <c r="E17" s="16">
        <v>57100.0</v>
      </c>
      <c r="F17" s="16">
        <v>47000.0</v>
      </c>
      <c r="G17" s="16">
        <v>55000.0</v>
      </c>
      <c r="H17" s="8">
        <v>60000.0</v>
      </c>
      <c r="I17" s="8">
        <v>60000.0</v>
      </c>
      <c r="J17" s="8">
        <v>60000.0</v>
      </c>
      <c r="K17" s="8">
        <v>60000.0</v>
      </c>
      <c r="L17" s="16">
        <v>60000.0</v>
      </c>
      <c r="M17" s="16">
        <v>60000.0</v>
      </c>
      <c r="N17" s="16">
        <v>60000.0</v>
      </c>
      <c r="O17" s="16">
        <v>61000.0</v>
      </c>
      <c r="P17" s="16">
        <v>49000.0</v>
      </c>
      <c r="Q17" s="16">
        <v>60000.0</v>
      </c>
      <c r="R17" s="16">
        <v>60000.0</v>
      </c>
      <c r="S17" s="8">
        <v>60000.0</v>
      </c>
      <c r="T17" s="8">
        <v>60000.0</v>
      </c>
      <c r="U17" s="8">
        <v>60000.0</v>
      </c>
      <c r="V17" s="8">
        <v>60000.0</v>
      </c>
      <c r="W17" s="8">
        <v>60000.0</v>
      </c>
      <c r="X17" s="8">
        <v>60000.0</v>
      </c>
      <c r="Y17" s="8">
        <v>60000.0</v>
      </c>
      <c r="Z17" s="9"/>
      <c r="AA17" s="9"/>
      <c r="AB17" s="9"/>
    </row>
    <row r="18">
      <c r="B18" s="5" t="s">
        <v>17</v>
      </c>
      <c r="C18" s="6"/>
      <c r="D18" s="7"/>
      <c r="E18" s="16">
        <v>102000.0</v>
      </c>
      <c r="F18" s="16">
        <v>78271.0</v>
      </c>
      <c r="G18" s="16">
        <v>89000.0</v>
      </c>
      <c r="H18" s="16">
        <v>97000.0</v>
      </c>
      <c r="I18" s="8">
        <v>97000.0</v>
      </c>
      <c r="J18" s="8">
        <v>97000.0</v>
      </c>
      <c r="K18" s="8">
        <v>87000.0</v>
      </c>
      <c r="L18" s="16">
        <v>97000.0</v>
      </c>
      <c r="M18" s="16">
        <v>87000.0</v>
      </c>
      <c r="N18" s="16">
        <v>97000.0</v>
      </c>
      <c r="O18" s="16">
        <v>87000.0</v>
      </c>
      <c r="P18" s="16">
        <v>87000.0</v>
      </c>
      <c r="Q18" s="16">
        <v>87000.0</v>
      </c>
      <c r="R18" s="16">
        <v>97000.0</v>
      </c>
      <c r="S18" s="8">
        <v>97000.0</v>
      </c>
      <c r="T18" s="8">
        <v>97000.0</v>
      </c>
      <c r="U18" s="8">
        <v>97000.0</v>
      </c>
      <c r="V18" s="8">
        <v>97000.0</v>
      </c>
      <c r="W18" s="8">
        <v>97000.0</v>
      </c>
      <c r="X18" s="8">
        <v>97000.0</v>
      </c>
      <c r="Y18" s="8">
        <v>97000.0</v>
      </c>
      <c r="Z18" s="9"/>
      <c r="AA18" s="9"/>
      <c r="AB18" s="9"/>
    </row>
    <row r="19">
      <c r="B19" s="5" t="s">
        <v>12</v>
      </c>
      <c r="C19" s="6"/>
      <c r="D19" s="7"/>
      <c r="E19" s="12">
        <f t="shared" ref="E19:Y19" si="9">SUM(E15:E18)</f>
        <v>305820</v>
      </c>
      <c r="F19" s="12">
        <f t="shared" si="9"/>
        <v>281271</v>
      </c>
      <c r="G19" s="12">
        <f t="shared" si="9"/>
        <v>283000</v>
      </c>
      <c r="H19" s="12">
        <f t="shared" si="9"/>
        <v>307000</v>
      </c>
      <c r="I19" s="12">
        <f t="shared" si="9"/>
        <v>307000</v>
      </c>
      <c r="J19" s="12">
        <f t="shared" si="9"/>
        <v>307000</v>
      </c>
      <c r="K19" s="12">
        <f t="shared" si="9"/>
        <v>297000</v>
      </c>
      <c r="L19" s="12">
        <f t="shared" si="9"/>
        <v>307000</v>
      </c>
      <c r="M19" s="12">
        <f t="shared" si="9"/>
        <v>321000</v>
      </c>
      <c r="N19" s="12">
        <f t="shared" si="9"/>
        <v>320000</v>
      </c>
      <c r="O19" s="12">
        <f t="shared" si="9"/>
        <v>322810</v>
      </c>
      <c r="P19" s="12">
        <f t="shared" si="9"/>
        <v>301000</v>
      </c>
      <c r="Q19" s="12">
        <f t="shared" si="9"/>
        <v>317000</v>
      </c>
      <c r="R19" s="12">
        <f t="shared" si="9"/>
        <v>353000</v>
      </c>
      <c r="S19" s="12">
        <f t="shared" si="9"/>
        <v>307000</v>
      </c>
      <c r="T19" s="12">
        <f t="shared" si="9"/>
        <v>307000</v>
      </c>
      <c r="U19" s="12">
        <f t="shared" si="9"/>
        <v>307000</v>
      </c>
      <c r="V19" s="12">
        <f t="shared" si="9"/>
        <v>307000</v>
      </c>
      <c r="W19" s="12">
        <f t="shared" si="9"/>
        <v>307000</v>
      </c>
      <c r="X19" s="12">
        <f t="shared" si="9"/>
        <v>307000</v>
      </c>
      <c r="Y19" s="12">
        <f t="shared" si="9"/>
        <v>307000</v>
      </c>
      <c r="Z19" s="13"/>
      <c r="AA19" s="13"/>
      <c r="AB19" s="13"/>
    </row>
    <row r="20">
      <c r="A20" s="18"/>
      <c r="B20" s="15"/>
      <c r="C20" s="2"/>
      <c r="D20" s="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8"/>
      <c r="B21" s="15"/>
      <c r="C21" s="2" t="s">
        <v>18</v>
      </c>
      <c r="D21" s="2" t="s">
        <v>19</v>
      </c>
      <c r="E21" s="3">
        <f t="shared" ref="E21:Y21" si="10">E1</f>
        <v>45778</v>
      </c>
      <c r="F21" s="3">
        <f t="shared" si="10"/>
        <v>45809</v>
      </c>
      <c r="G21" s="3">
        <f t="shared" si="10"/>
        <v>45840</v>
      </c>
      <c r="H21" s="3">
        <f t="shared" si="10"/>
        <v>45871</v>
      </c>
      <c r="I21" s="3">
        <f t="shared" si="10"/>
        <v>45902</v>
      </c>
      <c r="J21" s="3">
        <f t="shared" si="10"/>
        <v>45933</v>
      </c>
      <c r="K21" s="3">
        <f t="shared" si="10"/>
        <v>45964</v>
      </c>
      <c r="L21" s="3">
        <f t="shared" si="10"/>
        <v>45995</v>
      </c>
      <c r="M21" s="3">
        <f t="shared" si="10"/>
        <v>46026</v>
      </c>
      <c r="N21" s="3">
        <f t="shared" si="10"/>
        <v>46057</v>
      </c>
      <c r="O21" s="3">
        <f t="shared" si="10"/>
        <v>46088</v>
      </c>
      <c r="P21" s="3">
        <f t="shared" si="10"/>
        <v>46119</v>
      </c>
      <c r="Q21" s="3">
        <f t="shared" si="10"/>
        <v>46150</v>
      </c>
      <c r="R21" s="3">
        <f t="shared" si="10"/>
        <v>46181</v>
      </c>
      <c r="S21" s="3">
        <f t="shared" si="10"/>
        <v>46212</v>
      </c>
      <c r="T21" s="3">
        <f t="shared" si="10"/>
        <v>46243</v>
      </c>
      <c r="U21" s="3">
        <f t="shared" si="10"/>
        <v>46274</v>
      </c>
      <c r="V21" s="3">
        <f t="shared" si="10"/>
        <v>46305</v>
      </c>
      <c r="W21" s="3">
        <f t="shared" si="10"/>
        <v>46336</v>
      </c>
      <c r="X21" s="3">
        <f t="shared" si="10"/>
        <v>46367</v>
      </c>
      <c r="Y21" s="3">
        <f t="shared" si="10"/>
        <v>46398</v>
      </c>
      <c r="Z21" s="4"/>
      <c r="AA21" s="4"/>
      <c r="AB21" s="4"/>
    </row>
    <row r="22">
      <c r="A22" s="1" t="s">
        <v>20</v>
      </c>
      <c r="B22" s="19" t="s">
        <v>18</v>
      </c>
      <c r="C22" s="20">
        <v>1724039.0</v>
      </c>
      <c r="D22" s="20">
        <f t="shared" ref="D22:D26" si="11">C22-(SUM(E22:BB22))</f>
        <v>1724039</v>
      </c>
      <c r="E22" s="2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1"/>
      <c r="AA22" s="11"/>
      <c r="AB22" s="11"/>
    </row>
    <row r="23">
      <c r="B23" s="19" t="s">
        <v>21</v>
      </c>
      <c r="C23" s="20">
        <f>413800*48</f>
        <v>19862400</v>
      </c>
      <c r="D23" s="20">
        <f t="shared" si="11"/>
        <v>10326345</v>
      </c>
      <c r="E23" s="16">
        <v>420000.0</v>
      </c>
      <c r="F23" s="16">
        <v>420000.0</v>
      </c>
      <c r="G23" s="16">
        <v>420000.0</v>
      </c>
      <c r="H23" s="8">
        <v>420000.0</v>
      </c>
      <c r="I23" s="8">
        <f>420000+(380000-I25)</f>
        <v>456055</v>
      </c>
      <c r="J23" s="8">
        <f>420000+(380000-J25)+300000</f>
        <v>1100000</v>
      </c>
      <c r="K23" s="8">
        <v>420000.0</v>
      </c>
      <c r="L23" s="8">
        <v>420000.0</v>
      </c>
      <c r="M23" s="16">
        <v>420000.0</v>
      </c>
      <c r="N23" s="16">
        <v>420000.0</v>
      </c>
      <c r="O23" s="16">
        <v>420000.0</v>
      </c>
      <c r="P23" s="16">
        <v>420000.0</v>
      </c>
      <c r="Q23" s="16">
        <v>420000.0</v>
      </c>
      <c r="R23" s="16">
        <v>420000.0</v>
      </c>
      <c r="S23" s="16">
        <v>420000.0</v>
      </c>
      <c r="T23" s="8">
        <v>420000.0</v>
      </c>
      <c r="U23" s="8">
        <v>420000.0</v>
      </c>
      <c r="V23" s="8">
        <v>420000.0</v>
      </c>
      <c r="W23" s="8">
        <v>420000.0</v>
      </c>
      <c r="X23" s="8">
        <v>420000.0</v>
      </c>
      <c r="Y23" s="8">
        <v>420000.0</v>
      </c>
      <c r="Z23" s="9"/>
      <c r="AA23" s="9"/>
      <c r="AB23" s="9"/>
    </row>
    <row r="24">
      <c r="B24" s="19" t="s">
        <v>22</v>
      </c>
      <c r="C24" s="22">
        <v>2812000.0</v>
      </c>
      <c r="D24" s="20">
        <f t="shared" si="11"/>
        <v>1090000</v>
      </c>
      <c r="E24" s="16">
        <v>82000.0</v>
      </c>
      <c r="F24" s="16">
        <v>82000.0</v>
      </c>
      <c r="G24" s="8">
        <v>82000.0</v>
      </c>
      <c r="H24" s="8">
        <v>82000.0</v>
      </c>
      <c r="I24" s="8">
        <v>82000.0</v>
      </c>
      <c r="J24" s="8">
        <v>82000.0</v>
      </c>
      <c r="K24" s="8">
        <v>82000.0</v>
      </c>
      <c r="L24" s="16">
        <v>82000.0</v>
      </c>
      <c r="M24" s="16">
        <v>82000.0</v>
      </c>
      <c r="N24" s="16">
        <v>82000.0</v>
      </c>
      <c r="O24" s="16">
        <v>82000.0</v>
      </c>
      <c r="P24" s="16">
        <v>82000.0</v>
      </c>
      <c r="Q24" s="16">
        <v>82000.0</v>
      </c>
      <c r="R24" s="16">
        <v>82000.0</v>
      </c>
      <c r="S24" s="16">
        <v>82000.0</v>
      </c>
      <c r="T24" s="8">
        <v>82000.0</v>
      </c>
      <c r="U24" s="8">
        <v>82000.0</v>
      </c>
      <c r="V24" s="8">
        <v>82000.0</v>
      </c>
      <c r="W24" s="8">
        <v>82000.0</v>
      </c>
      <c r="X24" s="8">
        <v>82000.0</v>
      </c>
      <c r="Y24" s="8">
        <v>82000.0</v>
      </c>
      <c r="Z24" s="9"/>
      <c r="AA24" s="9"/>
      <c r="AB24" s="9"/>
    </row>
    <row r="25">
      <c r="B25" s="19" t="s">
        <v>23</v>
      </c>
      <c r="C25" s="23">
        <v>2643945.0</v>
      </c>
      <c r="D25" s="20">
        <f t="shared" si="11"/>
        <v>-4330604</v>
      </c>
      <c r="E25" s="16">
        <v>420000.0</v>
      </c>
      <c r="F25" s="24">
        <f>440000+380000</f>
        <v>820000</v>
      </c>
      <c r="G25" s="8">
        <v>420000.0</v>
      </c>
      <c r="H25" s="8">
        <f>380000+(300000-H26)</f>
        <v>380000</v>
      </c>
      <c r="I25" s="8">
        <f>380000+(300000-I26)-153155</f>
        <v>343945</v>
      </c>
      <c r="J25" s="8"/>
      <c r="K25" s="8">
        <v>320000.0</v>
      </c>
      <c r="L25" s="16">
        <v>320000.0</v>
      </c>
      <c r="M25" s="16">
        <v>320000.0</v>
      </c>
      <c r="N25" s="16">
        <v>670000.0</v>
      </c>
      <c r="O25" s="16">
        <f>V134</f>
        <v>693604</v>
      </c>
      <c r="P25" s="16">
        <f>W134+W135</f>
        <v>600000</v>
      </c>
      <c r="Q25" s="16">
        <v>600000.0</v>
      </c>
      <c r="R25" s="16">
        <v>467000.0</v>
      </c>
      <c r="S25" s="8">
        <f>Z134+Z135</f>
        <v>600000</v>
      </c>
      <c r="T25" s="10"/>
      <c r="U25" s="10"/>
      <c r="V25" s="10"/>
      <c r="W25" s="10"/>
      <c r="X25" s="10"/>
      <c r="Y25" s="10"/>
      <c r="Z25" s="11"/>
      <c r="AA25" s="11"/>
      <c r="AB25" s="11"/>
    </row>
    <row r="26">
      <c r="B26" s="19" t="s">
        <v>24</v>
      </c>
      <c r="C26" s="23">
        <f>1032900+12000+38000</f>
        <v>1082900</v>
      </c>
      <c r="D26" s="20">
        <f t="shared" si="11"/>
        <v>88000</v>
      </c>
      <c r="E26" s="25">
        <v>0.0</v>
      </c>
      <c r="F26" s="8">
        <v>0.0</v>
      </c>
      <c r="G26" s="8">
        <v>0.0</v>
      </c>
      <c r="H26" s="8">
        <v>300000.0</v>
      </c>
      <c r="I26" s="8">
        <v>182900.0</v>
      </c>
      <c r="J26" s="10"/>
      <c r="K26" s="10"/>
      <c r="L26" s="10"/>
      <c r="M26" s="10"/>
      <c r="N26" s="10"/>
      <c r="O26" s="10"/>
      <c r="P26" s="10"/>
      <c r="Q26" s="10"/>
      <c r="R26" s="16">
        <v>256000.0</v>
      </c>
      <c r="S26" s="8">
        <v>256000.0</v>
      </c>
      <c r="T26" s="10"/>
      <c r="U26" s="10"/>
      <c r="V26" s="10"/>
      <c r="W26" s="10"/>
      <c r="X26" s="10"/>
      <c r="Y26" s="10"/>
      <c r="Z26" s="11"/>
      <c r="AA26" s="11"/>
      <c r="AB26" s="11"/>
    </row>
    <row r="27">
      <c r="B27" s="5" t="s">
        <v>25</v>
      </c>
      <c r="C27" s="6"/>
      <c r="D27" s="7"/>
      <c r="E27" s="16">
        <v>22000.0</v>
      </c>
      <c r="F27" s="16">
        <v>22000.0</v>
      </c>
      <c r="G27" s="8">
        <v>22000.0</v>
      </c>
      <c r="H27" s="8">
        <v>22000.0</v>
      </c>
      <c r="I27" s="8">
        <v>22000.0</v>
      </c>
      <c r="J27" s="8">
        <v>22000.0</v>
      </c>
      <c r="K27" s="8">
        <v>22000.0</v>
      </c>
      <c r="L27" s="16">
        <v>22000.0</v>
      </c>
      <c r="M27" s="16">
        <v>22000.0</v>
      </c>
      <c r="N27" s="16">
        <v>22000.0</v>
      </c>
      <c r="O27" s="16">
        <v>22000.0</v>
      </c>
      <c r="P27" s="16">
        <v>22000.0</v>
      </c>
      <c r="Q27" s="16">
        <v>22000.0</v>
      </c>
      <c r="R27" s="16">
        <v>22000.0</v>
      </c>
      <c r="S27" s="16">
        <v>22000.0</v>
      </c>
      <c r="T27" s="8">
        <v>22000.0</v>
      </c>
      <c r="U27" s="8">
        <v>22000.0</v>
      </c>
      <c r="V27" s="8">
        <v>22000.0</v>
      </c>
      <c r="W27" s="8">
        <v>22000.0</v>
      </c>
      <c r="X27" s="8">
        <v>22000.0</v>
      </c>
      <c r="Y27" s="8">
        <v>22000.0</v>
      </c>
      <c r="Z27" s="9"/>
      <c r="AA27" s="9"/>
      <c r="AB27" s="9"/>
    </row>
    <row r="28">
      <c r="B28" s="5" t="s">
        <v>26</v>
      </c>
      <c r="C28" s="6"/>
      <c r="D28" s="7"/>
      <c r="E28" s="16">
        <v>80000.0</v>
      </c>
      <c r="F28" s="16">
        <v>80000.0</v>
      </c>
      <c r="G28" s="16">
        <v>80000.0</v>
      </c>
      <c r="H28" s="8">
        <v>80000.0</v>
      </c>
      <c r="I28" s="8">
        <v>80000.0</v>
      </c>
      <c r="J28" s="8">
        <v>80000.0</v>
      </c>
      <c r="K28" s="8">
        <v>80000.0</v>
      </c>
      <c r="L28" s="16">
        <v>80000.0</v>
      </c>
      <c r="M28" s="16">
        <v>80000.0</v>
      </c>
      <c r="N28" s="16">
        <v>106000.0</v>
      </c>
      <c r="O28" s="16">
        <v>80000.0</v>
      </c>
      <c r="P28" s="16">
        <v>80000.0</v>
      </c>
      <c r="Q28" s="16">
        <v>80000.0</v>
      </c>
      <c r="R28" s="16">
        <v>80000.0</v>
      </c>
      <c r="S28" s="16">
        <v>80000.0</v>
      </c>
      <c r="T28" s="8">
        <v>80000.0</v>
      </c>
      <c r="U28" s="8">
        <v>80000.0</v>
      </c>
      <c r="V28" s="8">
        <v>80000.0</v>
      </c>
      <c r="W28" s="8">
        <v>80000.0</v>
      </c>
      <c r="X28" s="8">
        <v>80000.0</v>
      </c>
      <c r="Y28" s="8">
        <v>80000.0</v>
      </c>
      <c r="Z28" s="9"/>
      <c r="AA28" s="9"/>
      <c r="AB28" s="9"/>
    </row>
    <row r="29">
      <c r="B29" s="5" t="s">
        <v>27</v>
      </c>
      <c r="C29" s="6"/>
      <c r="D29" s="7"/>
      <c r="E29" s="16">
        <v>10700.0</v>
      </c>
      <c r="F29" s="16">
        <v>21000.0</v>
      </c>
      <c r="G29" s="8">
        <v>21000.0</v>
      </c>
      <c r="H29" s="8">
        <v>21000.0</v>
      </c>
      <c r="I29" s="8">
        <v>21000.0</v>
      </c>
      <c r="J29" s="8">
        <v>21000.0</v>
      </c>
      <c r="K29" s="8">
        <v>21000.0</v>
      </c>
      <c r="L29" s="16">
        <v>21000.0</v>
      </c>
      <c r="M29" s="16">
        <v>21000.0</v>
      </c>
      <c r="N29" s="16">
        <v>21000.0</v>
      </c>
      <c r="O29" s="16">
        <v>21000.0</v>
      </c>
      <c r="P29" s="16">
        <v>21000.0</v>
      </c>
      <c r="Q29" s="16">
        <v>21000.0</v>
      </c>
      <c r="R29" s="16">
        <v>21000.0</v>
      </c>
      <c r="S29" s="16">
        <v>21000.0</v>
      </c>
      <c r="T29" s="8">
        <v>21000.0</v>
      </c>
      <c r="U29" s="8">
        <v>21000.0</v>
      </c>
      <c r="V29" s="8">
        <v>21000.0</v>
      </c>
      <c r="W29" s="8">
        <v>21000.0</v>
      </c>
      <c r="X29" s="8">
        <v>21000.0</v>
      </c>
      <c r="Y29" s="8">
        <v>21000.0</v>
      </c>
      <c r="Z29" s="9"/>
      <c r="AA29" s="9"/>
      <c r="AB29" s="9"/>
    </row>
    <row r="30">
      <c r="B30" s="5" t="s">
        <v>28</v>
      </c>
      <c r="C30" s="6"/>
      <c r="D30" s="7"/>
      <c r="E30" s="16">
        <v>28000.0</v>
      </c>
      <c r="F30" s="16">
        <v>29000.0</v>
      </c>
      <c r="G30" s="8">
        <v>29000.0</v>
      </c>
      <c r="H30" s="8">
        <v>29000.0</v>
      </c>
      <c r="I30" s="8">
        <v>29000.0</v>
      </c>
      <c r="J30" s="8">
        <v>29000.0</v>
      </c>
      <c r="K30" s="8">
        <v>29000.0</v>
      </c>
      <c r="L30" s="16">
        <v>29000.0</v>
      </c>
      <c r="M30" s="16">
        <v>29000.0</v>
      </c>
      <c r="N30" s="16">
        <v>29000.0</v>
      </c>
      <c r="O30" s="16">
        <v>29000.0</v>
      </c>
      <c r="P30" s="16">
        <v>29000.0</v>
      </c>
      <c r="Q30" s="16">
        <v>29000.0</v>
      </c>
      <c r="R30" s="16">
        <v>29000.0</v>
      </c>
      <c r="S30" s="16">
        <v>29000.0</v>
      </c>
      <c r="T30" s="8">
        <v>29000.0</v>
      </c>
      <c r="U30" s="8">
        <v>29000.0</v>
      </c>
      <c r="V30" s="8">
        <v>29000.0</v>
      </c>
      <c r="W30" s="8">
        <v>29000.0</v>
      </c>
      <c r="X30" s="8">
        <v>29000.0</v>
      </c>
      <c r="Y30" s="8">
        <v>29000.0</v>
      </c>
      <c r="Z30" s="9"/>
      <c r="AA30" s="9"/>
      <c r="AB30" s="9"/>
    </row>
    <row r="31">
      <c r="B31" s="5" t="s">
        <v>29</v>
      </c>
      <c r="C31" s="6"/>
      <c r="D31" s="7"/>
      <c r="E31" s="16">
        <v>40000.0</v>
      </c>
      <c r="F31" s="16">
        <v>40000.0</v>
      </c>
      <c r="G31" s="8">
        <v>40000.0</v>
      </c>
      <c r="H31" s="8">
        <v>40000.0</v>
      </c>
      <c r="I31" s="8">
        <v>40000.0</v>
      </c>
      <c r="J31" s="8">
        <v>40000.0</v>
      </c>
      <c r="K31" s="8">
        <v>40000.0</v>
      </c>
      <c r="L31" s="16">
        <v>40000.0</v>
      </c>
      <c r="M31" s="16">
        <v>40000.0</v>
      </c>
      <c r="N31" s="16">
        <v>52000.0</v>
      </c>
      <c r="O31" s="16">
        <v>52000.0</v>
      </c>
      <c r="P31" s="16">
        <v>52000.0</v>
      </c>
      <c r="Q31" s="16">
        <v>52000.0</v>
      </c>
      <c r="R31" s="16">
        <v>52000.0</v>
      </c>
      <c r="S31" s="16">
        <v>52000.0</v>
      </c>
      <c r="T31" s="8">
        <v>52000.0</v>
      </c>
      <c r="U31" s="8">
        <v>52000.0</v>
      </c>
      <c r="V31" s="8">
        <v>52000.0</v>
      </c>
      <c r="W31" s="8">
        <v>52000.0</v>
      </c>
      <c r="X31" s="8">
        <v>52000.0</v>
      </c>
      <c r="Y31" s="8">
        <v>52000.0</v>
      </c>
      <c r="Z31" s="9"/>
      <c r="AA31" s="9"/>
      <c r="AB31" s="9"/>
    </row>
    <row r="32">
      <c r="B32" s="5" t="s">
        <v>12</v>
      </c>
      <c r="C32" s="6"/>
      <c r="D32" s="7"/>
      <c r="E32" s="12">
        <f t="shared" ref="E32:Y32" si="12">SUM(E22:E31)</f>
        <v>1102700</v>
      </c>
      <c r="F32" s="12">
        <f t="shared" si="12"/>
        <v>1514000</v>
      </c>
      <c r="G32" s="12">
        <f t="shared" si="12"/>
        <v>1114000</v>
      </c>
      <c r="H32" s="12">
        <f t="shared" si="12"/>
        <v>1374000</v>
      </c>
      <c r="I32" s="12">
        <f t="shared" si="12"/>
        <v>1256900</v>
      </c>
      <c r="J32" s="12">
        <f t="shared" si="12"/>
        <v>1374000</v>
      </c>
      <c r="K32" s="12">
        <f t="shared" si="12"/>
        <v>1014000</v>
      </c>
      <c r="L32" s="12">
        <f t="shared" si="12"/>
        <v>1014000</v>
      </c>
      <c r="M32" s="12">
        <f t="shared" si="12"/>
        <v>1014000</v>
      </c>
      <c r="N32" s="12">
        <f t="shared" si="12"/>
        <v>1402000</v>
      </c>
      <c r="O32" s="12">
        <f t="shared" si="12"/>
        <v>1399604</v>
      </c>
      <c r="P32" s="12">
        <f t="shared" si="12"/>
        <v>1306000</v>
      </c>
      <c r="Q32" s="12">
        <f t="shared" si="12"/>
        <v>1306000</v>
      </c>
      <c r="R32" s="12">
        <f t="shared" si="12"/>
        <v>1429000</v>
      </c>
      <c r="S32" s="12">
        <f t="shared" si="12"/>
        <v>1562000</v>
      </c>
      <c r="T32" s="12">
        <f t="shared" si="12"/>
        <v>706000</v>
      </c>
      <c r="U32" s="12">
        <f t="shared" si="12"/>
        <v>706000</v>
      </c>
      <c r="V32" s="12">
        <f t="shared" si="12"/>
        <v>706000</v>
      </c>
      <c r="W32" s="12">
        <f t="shared" si="12"/>
        <v>706000</v>
      </c>
      <c r="X32" s="12">
        <f t="shared" si="12"/>
        <v>706000</v>
      </c>
      <c r="Y32" s="12">
        <f t="shared" si="12"/>
        <v>706000</v>
      </c>
      <c r="Z32" s="13"/>
      <c r="AA32" s="13"/>
      <c r="AB32" s="13"/>
    </row>
    <row r="33">
      <c r="A33" s="14"/>
      <c r="B33" s="15"/>
      <c r="C33" s="15"/>
      <c r="D33" s="15"/>
    </row>
    <row r="34">
      <c r="A34" s="1" t="s">
        <v>30</v>
      </c>
      <c r="B34" s="5" t="s">
        <v>31</v>
      </c>
      <c r="C34" s="6"/>
      <c r="D34" s="7"/>
      <c r="E34" s="16">
        <v>164000.0</v>
      </c>
      <c r="F34" s="16">
        <v>164000.0</v>
      </c>
      <c r="G34" s="8">
        <v>164000.0</v>
      </c>
      <c r="H34" s="8">
        <v>164000.0</v>
      </c>
      <c r="I34" s="8">
        <v>164000.0</v>
      </c>
      <c r="J34" s="8">
        <v>164000.0</v>
      </c>
      <c r="K34" s="8">
        <v>490000.0</v>
      </c>
      <c r="L34" s="16">
        <v>1200000.0</v>
      </c>
      <c r="M34" s="16">
        <v>499000.0</v>
      </c>
      <c r="N34" s="16">
        <v>499000.0</v>
      </c>
      <c r="O34" s="16">
        <v>499000.0</v>
      </c>
      <c r="P34" s="16">
        <v>499000.0</v>
      </c>
      <c r="Q34" s="16">
        <v>499000.0</v>
      </c>
      <c r="R34" s="16">
        <v>499000.0</v>
      </c>
      <c r="S34" s="8">
        <v>499000.0</v>
      </c>
      <c r="T34" s="8">
        <v>499000.0</v>
      </c>
      <c r="U34" s="8">
        <v>499000.0</v>
      </c>
      <c r="V34" s="8">
        <v>499000.0</v>
      </c>
      <c r="W34" s="8"/>
      <c r="X34" s="8"/>
      <c r="Y34" s="8"/>
      <c r="Z34" s="11"/>
      <c r="AA34" s="11"/>
      <c r="AB34" s="11"/>
    </row>
    <row r="35" hidden="1">
      <c r="B35" s="5" t="s">
        <v>32</v>
      </c>
      <c r="C35" s="6"/>
      <c r="D35" s="7"/>
      <c r="E35" s="16">
        <f>417000+327000</f>
        <v>744000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10"/>
      <c r="L35" s="10"/>
      <c r="M35" s="26"/>
      <c r="N35" s="26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1"/>
      <c r="AA35" s="11"/>
      <c r="AB35" s="11"/>
    </row>
    <row r="36">
      <c r="B36" s="5" t="s">
        <v>33</v>
      </c>
      <c r="C36" s="6"/>
      <c r="D36" s="7"/>
      <c r="E36" s="16">
        <v>400000.0</v>
      </c>
      <c r="F36" s="16">
        <v>400000.0</v>
      </c>
      <c r="G36" s="16">
        <v>400000.0</v>
      </c>
      <c r="H36" s="8">
        <v>400000.0</v>
      </c>
      <c r="I36" s="8">
        <v>400000.0</v>
      </c>
      <c r="J36" s="8">
        <v>400000.0</v>
      </c>
      <c r="K36" s="8">
        <v>400000.0</v>
      </c>
      <c r="L36" s="16">
        <v>400000.0</v>
      </c>
      <c r="M36" s="16">
        <v>450000.0</v>
      </c>
      <c r="N36" s="16">
        <v>500000.0</v>
      </c>
      <c r="O36" s="16">
        <v>500000.0</v>
      </c>
      <c r="P36" s="16">
        <v>500000.0</v>
      </c>
      <c r="Q36" s="16">
        <v>500000.0</v>
      </c>
      <c r="R36" s="16">
        <v>500000.0</v>
      </c>
      <c r="S36" s="16">
        <v>500000.0</v>
      </c>
      <c r="T36" s="8">
        <v>500000.0</v>
      </c>
      <c r="U36" s="8">
        <v>500000.0</v>
      </c>
      <c r="V36" s="8">
        <v>500000.0</v>
      </c>
      <c r="W36" s="8">
        <v>500000.0</v>
      </c>
      <c r="X36" s="8">
        <v>500000.0</v>
      </c>
      <c r="Y36" s="8">
        <v>500000.0</v>
      </c>
      <c r="Z36" s="9"/>
      <c r="AA36" s="9"/>
      <c r="AB36" s="9"/>
    </row>
    <row r="37">
      <c r="B37" s="5" t="s">
        <v>34</v>
      </c>
      <c r="C37" s="6"/>
      <c r="D37" s="7"/>
      <c r="E37" s="16">
        <v>400000.0</v>
      </c>
      <c r="F37" s="16">
        <v>400000.0</v>
      </c>
      <c r="G37" s="8">
        <v>400000.0</v>
      </c>
      <c r="H37" s="8">
        <v>400000.0</v>
      </c>
      <c r="I37" s="8">
        <v>400000.0</v>
      </c>
      <c r="J37" s="8">
        <v>400000.0</v>
      </c>
      <c r="K37" s="8">
        <v>400000.0</v>
      </c>
      <c r="L37" s="16">
        <v>400000.0</v>
      </c>
      <c r="M37" s="16">
        <v>450000.0</v>
      </c>
      <c r="N37" s="16">
        <v>500000.0</v>
      </c>
      <c r="O37" s="16">
        <v>500000.0</v>
      </c>
      <c r="P37" s="16">
        <v>500000.0</v>
      </c>
      <c r="Q37" s="16">
        <v>500000.0</v>
      </c>
      <c r="R37" s="16">
        <v>500000.0</v>
      </c>
      <c r="S37" s="8">
        <v>500000.0</v>
      </c>
      <c r="T37" s="8">
        <v>500000.0</v>
      </c>
      <c r="U37" s="8">
        <v>500000.0</v>
      </c>
      <c r="V37" s="8">
        <v>500000.0</v>
      </c>
      <c r="W37" s="8">
        <v>500000.0</v>
      </c>
      <c r="X37" s="8">
        <v>500000.0</v>
      </c>
      <c r="Y37" s="8">
        <v>500000.0</v>
      </c>
      <c r="Z37" s="9"/>
      <c r="AA37" s="9"/>
      <c r="AB37" s="9"/>
    </row>
    <row r="38">
      <c r="B38" s="5" t="s">
        <v>35</v>
      </c>
      <c r="C38" s="6"/>
      <c r="D38" s="7"/>
      <c r="E38" s="16">
        <v>30000.0</v>
      </c>
      <c r="F38" s="25">
        <v>100000.0</v>
      </c>
      <c r="G38" s="8">
        <v>100000.0</v>
      </c>
      <c r="H38" s="8">
        <v>100000.0</v>
      </c>
      <c r="I38" s="8">
        <v>100000.0</v>
      </c>
      <c r="J38" s="8">
        <v>100000.0</v>
      </c>
      <c r="K38" s="8">
        <v>100000.0</v>
      </c>
      <c r="L38" s="16">
        <v>100000.0</v>
      </c>
      <c r="M38" s="16">
        <v>150000.0</v>
      </c>
      <c r="N38" s="16">
        <v>150000.0</v>
      </c>
      <c r="O38" s="25"/>
      <c r="P38" s="16">
        <v>0.0</v>
      </c>
      <c r="Q38" s="16">
        <v>100000.0</v>
      </c>
      <c r="R38" s="16">
        <v>100000.0</v>
      </c>
      <c r="S38" s="8">
        <v>150000.0</v>
      </c>
      <c r="T38" s="8">
        <v>150000.0</v>
      </c>
      <c r="U38" s="8">
        <v>150000.0</v>
      </c>
      <c r="V38" s="8">
        <v>150000.0</v>
      </c>
      <c r="W38" s="8">
        <v>150000.0</v>
      </c>
      <c r="X38" s="8">
        <v>150000.0</v>
      </c>
      <c r="Y38" s="8">
        <v>150000.0</v>
      </c>
      <c r="Z38" s="9"/>
      <c r="AA38" s="9"/>
      <c r="AB38" s="9"/>
    </row>
    <row r="39">
      <c r="B39" s="5" t="s">
        <v>36</v>
      </c>
      <c r="C39" s="6"/>
      <c r="D39" s="7"/>
      <c r="E39" s="16">
        <v>86300.0</v>
      </c>
      <c r="F39" s="8">
        <v>0.0</v>
      </c>
      <c r="G39" s="8">
        <v>0.0</v>
      </c>
      <c r="H39" s="8">
        <v>0.0</v>
      </c>
      <c r="I39" s="10">
        <f>86300*3</f>
        <v>258900</v>
      </c>
      <c r="J39" s="8">
        <v>0.0</v>
      </c>
      <c r="K39" s="8">
        <v>40000.0</v>
      </c>
      <c r="L39" s="16">
        <v>40000.0</v>
      </c>
      <c r="M39" s="16">
        <v>40000.0</v>
      </c>
      <c r="N39" s="16">
        <v>95000.0</v>
      </c>
      <c r="O39" s="25"/>
      <c r="P39" s="8">
        <v>0.0</v>
      </c>
      <c r="Q39" s="8">
        <v>0.0</v>
      </c>
      <c r="R39" s="16">
        <v>94000.0</v>
      </c>
      <c r="S39" s="8">
        <v>0.0</v>
      </c>
      <c r="T39" s="8">
        <v>94000.0</v>
      </c>
      <c r="U39" s="8">
        <v>0.0</v>
      </c>
      <c r="V39" s="8">
        <v>0.0</v>
      </c>
      <c r="W39" s="8">
        <v>94000.0</v>
      </c>
      <c r="X39" s="8">
        <v>0.0</v>
      </c>
      <c r="Y39" s="8">
        <v>0.0</v>
      </c>
      <c r="Z39" s="11"/>
      <c r="AA39" s="11"/>
      <c r="AB39" s="11"/>
    </row>
    <row r="40">
      <c r="B40" s="27" t="s">
        <v>37</v>
      </c>
      <c r="C40" s="28"/>
      <c r="D40" s="29"/>
      <c r="E40" s="30">
        <v>50000.0</v>
      </c>
      <c r="F40" s="31">
        <f t="shared" ref="F40:N40" si="13">F3</f>
        <v>150000</v>
      </c>
      <c r="G40" s="12">
        <f t="shared" si="13"/>
        <v>150000</v>
      </c>
      <c r="H40" s="12">
        <f t="shared" si="13"/>
        <v>150000</v>
      </c>
      <c r="I40" s="12">
        <f t="shared" si="13"/>
        <v>150000</v>
      </c>
      <c r="J40" s="12">
        <f t="shared" si="13"/>
        <v>150000</v>
      </c>
      <c r="K40" s="12" t="str">
        <f t="shared" si="13"/>
        <v/>
      </c>
      <c r="L40" s="12" t="str">
        <f t="shared" si="13"/>
        <v/>
      </c>
      <c r="M40" s="12" t="str">
        <f t="shared" si="13"/>
        <v/>
      </c>
      <c r="N40" s="12" t="str">
        <f t="shared" si="13"/>
        <v/>
      </c>
      <c r="O40" s="30">
        <v>100000.0</v>
      </c>
      <c r="P40" s="30">
        <v>85000.0</v>
      </c>
      <c r="Q40" s="12" t="str">
        <f t="shared" ref="Q40:Y40" si="14">Q3</f>
        <v/>
      </c>
      <c r="R40" s="12" t="str">
        <f t="shared" si="14"/>
        <v/>
      </c>
      <c r="S40" s="12" t="str">
        <f t="shared" si="14"/>
        <v/>
      </c>
      <c r="T40" s="12" t="str">
        <f t="shared" si="14"/>
        <v/>
      </c>
      <c r="U40" s="12" t="str">
        <f t="shared" si="14"/>
        <v/>
      </c>
      <c r="V40" s="12" t="str">
        <f t="shared" si="14"/>
        <v/>
      </c>
      <c r="W40" s="12" t="str">
        <f t="shared" si="14"/>
        <v/>
      </c>
      <c r="X40" s="12" t="str">
        <f t="shared" si="14"/>
        <v/>
      </c>
      <c r="Y40" s="12" t="str">
        <f t="shared" si="14"/>
        <v/>
      </c>
      <c r="Z40" s="11"/>
      <c r="AA40" s="11"/>
      <c r="AB40" s="11"/>
    </row>
    <row r="41">
      <c r="B41" s="32"/>
      <c r="D41" s="33"/>
      <c r="E41" s="30">
        <f>120000+30000+200000</f>
        <v>350000</v>
      </c>
      <c r="F41" s="30">
        <f>100000</f>
        <v>100000</v>
      </c>
      <c r="G41" s="12"/>
      <c r="H41" s="10"/>
      <c r="I41" s="10"/>
      <c r="J41" s="10"/>
      <c r="K41" s="10"/>
      <c r="L41" s="10"/>
      <c r="M41" s="10"/>
      <c r="N41" s="10"/>
      <c r="O41" s="16">
        <v>125000.0</v>
      </c>
      <c r="P41" s="16">
        <v>125000.0</v>
      </c>
      <c r="Q41" s="16">
        <v>125000.0</v>
      </c>
      <c r="R41" s="25">
        <v>125000.0</v>
      </c>
      <c r="S41" s="10"/>
      <c r="T41" s="10"/>
      <c r="U41" s="10"/>
      <c r="V41" s="10"/>
      <c r="W41" s="10"/>
      <c r="X41" s="10"/>
      <c r="Y41" s="10"/>
      <c r="Z41" s="13"/>
      <c r="AA41" s="13"/>
      <c r="AB41" s="13"/>
    </row>
    <row r="42">
      <c r="A42" s="34"/>
      <c r="B42" s="32"/>
      <c r="D42" s="33"/>
      <c r="E42" s="30">
        <v>130000.0</v>
      </c>
      <c r="F42" s="30">
        <f>60000+220000</f>
        <v>280000</v>
      </c>
      <c r="G42" s="12"/>
      <c r="H42" s="10"/>
      <c r="I42" s="10"/>
      <c r="J42" s="10"/>
      <c r="K42" s="10"/>
      <c r="L42" s="10"/>
      <c r="M42" s="10"/>
      <c r="N42" s="10"/>
      <c r="O42" s="16">
        <v>40000.0</v>
      </c>
      <c r="P42" s="16">
        <v>120000.0</v>
      </c>
      <c r="Q42" s="16">
        <v>50000.0</v>
      </c>
      <c r="R42" s="16">
        <v>50000.0</v>
      </c>
      <c r="S42" s="16">
        <v>50000.0</v>
      </c>
      <c r="T42" s="8">
        <v>50000.0</v>
      </c>
      <c r="U42" s="8">
        <v>50000.0</v>
      </c>
      <c r="V42" s="8">
        <v>50000.0</v>
      </c>
      <c r="W42" s="8">
        <v>50000.0</v>
      </c>
      <c r="X42" s="8">
        <v>50000.0</v>
      </c>
      <c r="Y42" s="10"/>
    </row>
    <row r="43">
      <c r="A43" s="14"/>
      <c r="B43" s="32"/>
      <c r="D43" s="33"/>
      <c r="E43" s="30">
        <v>60000.0</v>
      </c>
      <c r="F43" s="30">
        <v>108000.0</v>
      </c>
      <c r="G43" s="12"/>
      <c r="H43" s="10"/>
      <c r="I43" s="10"/>
      <c r="J43" s="10"/>
      <c r="K43" s="10"/>
      <c r="L43" s="10"/>
      <c r="M43" s="10"/>
      <c r="N43" s="10"/>
      <c r="O43" s="16">
        <v>50000.0</v>
      </c>
      <c r="P43" s="16">
        <v>70000.0</v>
      </c>
      <c r="Q43" s="10"/>
      <c r="R43" s="10"/>
      <c r="S43" s="10"/>
      <c r="T43" s="10"/>
      <c r="U43" s="10"/>
      <c r="V43" s="10"/>
      <c r="W43" s="10"/>
      <c r="X43" s="10"/>
      <c r="Y43" s="10"/>
      <c r="Z43" s="4"/>
      <c r="AA43" s="4"/>
      <c r="AB43" s="4"/>
    </row>
    <row r="44">
      <c r="A44" s="14"/>
      <c r="B44" s="32"/>
      <c r="D44" s="33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</row>
    <row r="45">
      <c r="A45" s="14"/>
      <c r="B45" s="5" t="s">
        <v>12</v>
      </c>
      <c r="C45" s="6"/>
      <c r="D45" s="7"/>
      <c r="E45" s="12">
        <f t="shared" ref="E45:Y45" si="15">SUM(E34:E44)</f>
        <v>2414300</v>
      </c>
      <c r="F45" s="12">
        <f t="shared" si="15"/>
        <v>1702000</v>
      </c>
      <c r="G45" s="12">
        <f t="shared" si="15"/>
        <v>1214000</v>
      </c>
      <c r="H45" s="12">
        <f t="shared" si="15"/>
        <v>1214000</v>
      </c>
      <c r="I45" s="12">
        <f t="shared" si="15"/>
        <v>1472900</v>
      </c>
      <c r="J45" s="12">
        <f t="shared" si="15"/>
        <v>1214000</v>
      </c>
      <c r="K45" s="12">
        <f t="shared" si="15"/>
        <v>1430000</v>
      </c>
      <c r="L45" s="12">
        <f t="shared" si="15"/>
        <v>2140000</v>
      </c>
      <c r="M45" s="12">
        <f t="shared" si="15"/>
        <v>1589000</v>
      </c>
      <c r="N45" s="12">
        <f t="shared" si="15"/>
        <v>1744000</v>
      </c>
      <c r="O45" s="12">
        <f t="shared" si="15"/>
        <v>1814000</v>
      </c>
      <c r="P45" s="12">
        <f t="shared" si="15"/>
        <v>1899000</v>
      </c>
      <c r="Q45" s="12">
        <f t="shared" si="15"/>
        <v>1774000</v>
      </c>
      <c r="R45" s="12">
        <f t="shared" si="15"/>
        <v>1868000</v>
      </c>
      <c r="S45" s="12">
        <f t="shared" si="15"/>
        <v>1699000</v>
      </c>
      <c r="T45" s="12">
        <f t="shared" si="15"/>
        <v>1793000</v>
      </c>
      <c r="U45" s="12">
        <f t="shared" si="15"/>
        <v>1699000</v>
      </c>
      <c r="V45" s="12">
        <f t="shared" si="15"/>
        <v>1699000</v>
      </c>
      <c r="W45" s="12">
        <f t="shared" si="15"/>
        <v>1294000</v>
      </c>
      <c r="X45" s="12">
        <f t="shared" si="15"/>
        <v>1200000</v>
      </c>
      <c r="Y45" s="12">
        <f t="shared" si="15"/>
        <v>1150000</v>
      </c>
      <c r="Z45" s="11"/>
      <c r="AA45" s="11"/>
      <c r="AB45" s="11"/>
    </row>
    <row r="46">
      <c r="A46" s="14"/>
      <c r="Z46" s="11"/>
      <c r="AA46" s="11"/>
      <c r="AB46" s="11"/>
    </row>
    <row r="47">
      <c r="A47" s="14"/>
      <c r="Z47" s="11"/>
      <c r="AA47" s="11"/>
      <c r="AB47" s="11"/>
    </row>
    <row r="48">
      <c r="A48" s="14"/>
      <c r="Z48" s="13"/>
      <c r="AA48" s="13"/>
      <c r="AB48" s="13"/>
    </row>
    <row r="49">
      <c r="A49" s="14"/>
      <c r="Z49" s="13"/>
      <c r="AA49" s="13"/>
      <c r="AB49" s="13"/>
    </row>
    <row r="50">
      <c r="A50" s="14"/>
      <c r="B50" s="15"/>
      <c r="C50" s="15"/>
      <c r="D50" s="15"/>
    </row>
    <row r="51" hidden="1">
      <c r="A51" s="35" t="s">
        <v>38</v>
      </c>
      <c r="B51" s="36" t="s">
        <v>39</v>
      </c>
      <c r="C51" s="28"/>
      <c r="D51" s="29"/>
      <c r="E51" s="16">
        <v>37000.0</v>
      </c>
      <c r="F51" s="16">
        <v>34000.0</v>
      </c>
      <c r="G51" s="8">
        <v>40000.0</v>
      </c>
      <c r="H51" s="8">
        <v>40000.0</v>
      </c>
      <c r="I51" s="8">
        <v>40000.0</v>
      </c>
      <c r="J51" s="8">
        <v>40000.0</v>
      </c>
      <c r="K51" s="8">
        <v>40000.0</v>
      </c>
      <c r="L51" s="8">
        <v>40000.0</v>
      </c>
      <c r="M51" s="8">
        <v>40000.0</v>
      </c>
      <c r="N51" s="8">
        <v>40000.0</v>
      </c>
      <c r="O51" s="8">
        <v>40000.0</v>
      </c>
      <c r="P51" s="8">
        <v>40000.0</v>
      </c>
      <c r="Q51" s="8">
        <v>40000.0</v>
      </c>
      <c r="R51" s="8">
        <v>40000.0</v>
      </c>
      <c r="S51" s="8">
        <v>40000.0</v>
      </c>
      <c r="T51" s="8">
        <v>40000.0</v>
      </c>
      <c r="U51" s="8">
        <v>40000.0</v>
      </c>
      <c r="V51" s="8">
        <v>40000.0</v>
      </c>
      <c r="W51" s="8">
        <v>40000.0</v>
      </c>
      <c r="X51" s="8">
        <v>40000.0</v>
      </c>
      <c r="Y51" s="8">
        <v>40000.0</v>
      </c>
      <c r="Z51" s="9"/>
      <c r="AA51" s="9"/>
      <c r="AB51" s="9"/>
    </row>
    <row r="52" hidden="1">
      <c r="B52" s="32"/>
      <c r="D52" s="33"/>
      <c r="E52" s="16">
        <v>38000.0</v>
      </c>
      <c r="F52" s="16">
        <f>20000+20000</f>
        <v>40000</v>
      </c>
      <c r="G52" s="8">
        <v>40000.0</v>
      </c>
      <c r="H52" s="8">
        <v>40000.0</v>
      </c>
      <c r="I52" s="8">
        <v>40000.0</v>
      </c>
      <c r="J52" s="8">
        <v>40000.0</v>
      </c>
      <c r="K52" s="8">
        <v>40000.0</v>
      </c>
      <c r="L52" s="8">
        <v>40000.0</v>
      </c>
      <c r="M52" s="8">
        <v>40000.0</v>
      </c>
      <c r="N52" s="8">
        <v>40000.0</v>
      </c>
      <c r="O52" s="8">
        <v>40000.0</v>
      </c>
      <c r="P52" s="8">
        <v>40000.0</v>
      </c>
      <c r="Q52" s="8">
        <v>40000.0</v>
      </c>
      <c r="R52" s="8">
        <v>40000.0</v>
      </c>
      <c r="S52" s="8">
        <v>40000.0</v>
      </c>
      <c r="T52" s="8">
        <v>40000.0</v>
      </c>
      <c r="U52" s="8">
        <v>40000.0</v>
      </c>
      <c r="V52" s="8">
        <v>40000.0</v>
      </c>
      <c r="W52" s="8">
        <v>40000.0</v>
      </c>
      <c r="X52" s="8">
        <v>40000.0</v>
      </c>
      <c r="Y52" s="8">
        <v>40000.0</v>
      </c>
      <c r="Z52" s="9"/>
      <c r="AA52" s="9"/>
      <c r="AB52" s="9"/>
    </row>
    <row r="53" hidden="1">
      <c r="B53" s="32"/>
      <c r="D53" s="33"/>
      <c r="E53" s="16">
        <v>40000.0</v>
      </c>
      <c r="F53" s="16">
        <f t="shared" ref="F53:F54" si="16">20000+40000</f>
        <v>60000</v>
      </c>
      <c r="G53" s="8">
        <v>40000.0</v>
      </c>
      <c r="H53" s="8">
        <v>40000.0</v>
      </c>
      <c r="I53" s="8">
        <v>40000.0</v>
      </c>
      <c r="J53" s="8">
        <v>40000.0</v>
      </c>
      <c r="K53" s="8">
        <v>40000.0</v>
      </c>
      <c r="L53" s="8">
        <v>40000.0</v>
      </c>
      <c r="M53" s="8">
        <v>40000.0</v>
      </c>
      <c r="N53" s="8">
        <v>40000.0</v>
      </c>
      <c r="O53" s="8">
        <v>40000.0</v>
      </c>
      <c r="P53" s="8">
        <v>40000.0</v>
      </c>
      <c r="Q53" s="8">
        <v>40000.0</v>
      </c>
      <c r="R53" s="8">
        <v>40000.0</v>
      </c>
      <c r="S53" s="8">
        <v>40000.0</v>
      </c>
      <c r="T53" s="8">
        <v>40000.0</v>
      </c>
      <c r="U53" s="8">
        <v>40000.0</v>
      </c>
      <c r="V53" s="8">
        <v>40000.0</v>
      </c>
      <c r="W53" s="8">
        <v>40000.0</v>
      </c>
      <c r="X53" s="8">
        <v>40000.0</v>
      </c>
      <c r="Y53" s="8">
        <v>40000.0</v>
      </c>
      <c r="Z53" s="9"/>
      <c r="AA53" s="9"/>
      <c r="AB53" s="9"/>
    </row>
    <row r="54" hidden="1">
      <c r="B54" s="32"/>
      <c r="D54" s="33"/>
      <c r="E54" s="16">
        <v>42000.0</v>
      </c>
      <c r="F54" s="16">
        <f t="shared" si="16"/>
        <v>60000</v>
      </c>
      <c r="G54" s="8">
        <v>40000.0</v>
      </c>
      <c r="H54" s="8">
        <v>40000.0</v>
      </c>
      <c r="I54" s="8">
        <v>40000.0</v>
      </c>
      <c r="J54" s="8">
        <v>40000.0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9"/>
      <c r="AB54" s="9"/>
    </row>
    <row r="55" hidden="1">
      <c r="B55" s="32"/>
      <c r="D55" s="33"/>
      <c r="E55" s="16">
        <v>35000.0</v>
      </c>
      <c r="F55" s="8">
        <v>40000.0</v>
      </c>
      <c r="G55" s="8">
        <v>40000.0</v>
      </c>
      <c r="H55" s="8">
        <v>40000.0</v>
      </c>
      <c r="I55" s="8">
        <v>40000.0</v>
      </c>
      <c r="J55" s="8">
        <v>40000.0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9"/>
      <c r="AB55" s="9"/>
    </row>
    <row r="56" hidden="1">
      <c r="B56" s="32"/>
      <c r="D56" s="33"/>
      <c r="E56" s="16">
        <v>44000.0</v>
      </c>
      <c r="F56" s="8">
        <v>40000.0</v>
      </c>
      <c r="G56" s="8">
        <v>40000.0</v>
      </c>
      <c r="H56" s="8">
        <v>40000.0</v>
      </c>
      <c r="I56" s="8">
        <v>40000.0</v>
      </c>
      <c r="J56" s="8">
        <v>40000.0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9"/>
      <c r="AB56" s="9"/>
    </row>
    <row r="57" hidden="1">
      <c r="B57" s="32"/>
      <c r="D57" s="33"/>
      <c r="E57" s="16">
        <f>20000+34000</f>
        <v>54000</v>
      </c>
      <c r="F57" s="8">
        <v>40000.0</v>
      </c>
      <c r="G57" s="8">
        <v>40000.0</v>
      </c>
      <c r="H57" s="8">
        <v>40000.0</v>
      </c>
      <c r="I57" s="8">
        <v>40000.0</v>
      </c>
      <c r="J57" s="8">
        <v>40000.0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  <c r="AA57" s="9"/>
      <c r="AB57" s="9"/>
    </row>
    <row r="58" hidden="1">
      <c r="B58" s="32"/>
      <c r="D58" s="33"/>
      <c r="E58" s="16">
        <v>28000.0</v>
      </c>
      <c r="F58" s="8">
        <v>40000.0</v>
      </c>
      <c r="G58" s="8"/>
      <c r="H58" s="8">
        <v>40000.0</v>
      </c>
      <c r="I58" s="8">
        <v>40000.0</v>
      </c>
      <c r="J58" s="8">
        <v>40000.0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9"/>
      <c r="AB58" s="9"/>
    </row>
    <row r="59" hidden="1">
      <c r="B59" s="32"/>
      <c r="D59" s="33"/>
      <c r="E59" s="16">
        <v>34000.0</v>
      </c>
      <c r="F59" s="8">
        <v>40000.0</v>
      </c>
      <c r="G59" s="8"/>
      <c r="H59" s="8">
        <v>40000.0</v>
      </c>
      <c r="I59" s="8">
        <v>40000.0</v>
      </c>
      <c r="J59" s="8">
        <v>40000.0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9"/>
      <c r="AB59" s="9"/>
    </row>
    <row r="60" hidden="1">
      <c r="B60" s="32"/>
      <c r="D60" s="33"/>
      <c r="E60" s="16">
        <v>41000.0</v>
      </c>
      <c r="F60" s="8">
        <v>40000.0</v>
      </c>
      <c r="G60" s="8"/>
      <c r="H60" s="8">
        <v>40000.0</v>
      </c>
      <c r="I60" s="8">
        <v>40000.0</v>
      </c>
      <c r="J60" s="8">
        <v>40000.0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9"/>
      <c r="AB60" s="9"/>
    </row>
    <row r="61" hidden="1">
      <c r="B61" s="32"/>
      <c r="D61" s="33"/>
      <c r="E61" s="16">
        <v>44000.0</v>
      </c>
      <c r="F61" s="8">
        <v>40000.0</v>
      </c>
      <c r="G61" s="8"/>
      <c r="H61" s="8">
        <v>40000.0</v>
      </c>
      <c r="I61" s="8">
        <v>40000.0</v>
      </c>
      <c r="J61" s="8">
        <v>40000.0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9"/>
      <c r="AB61" s="9"/>
    </row>
    <row r="62" hidden="1">
      <c r="B62" s="32"/>
      <c r="D62" s="33"/>
      <c r="E62" s="16">
        <v>41500.0</v>
      </c>
      <c r="F62" s="8">
        <v>40000.0</v>
      </c>
      <c r="G62" s="8"/>
      <c r="H62" s="8">
        <v>40000.0</v>
      </c>
      <c r="I62" s="8">
        <v>40000.0</v>
      </c>
      <c r="J62" s="8">
        <v>40000.0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9"/>
      <c r="AB62" s="9"/>
    </row>
    <row r="63" hidden="1">
      <c r="B63" s="32"/>
      <c r="D63" s="33"/>
      <c r="E63" s="16">
        <v>46000.0</v>
      </c>
      <c r="F63" s="8">
        <v>40000.0</v>
      </c>
      <c r="G63" s="8"/>
      <c r="H63" s="8">
        <v>40000.0</v>
      </c>
      <c r="I63" s="8">
        <v>40000.0</v>
      </c>
      <c r="J63" s="8">
        <v>40000.0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9"/>
      <c r="AB63" s="9"/>
    </row>
    <row r="64" hidden="1">
      <c r="B64" s="37"/>
      <c r="C64" s="38"/>
      <c r="D64" s="39"/>
      <c r="E64" s="16">
        <v>32000</v>
      </c>
      <c r="F64" s="8">
        <v>40000.0</v>
      </c>
      <c r="G64" s="8"/>
      <c r="H64" s="8">
        <v>40000.0</v>
      </c>
      <c r="I64" s="8">
        <v>40000.0</v>
      </c>
      <c r="J64" s="8">
        <v>40000.0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9"/>
      <c r="AB64" s="9"/>
    </row>
    <row r="65" hidden="1">
      <c r="B65" s="40" t="s">
        <v>40</v>
      </c>
      <c r="C65" s="41" t="s">
        <v>41</v>
      </c>
      <c r="D65" s="7"/>
      <c r="E65" s="8"/>
      <c r="F65" s="16">
        <v>90000.0</v>
      </c>
      <c r="G65" s="8"/>
      <c r="H65" s="8"/>
      <c r="I65" s="8">
        <v>90000.0</v>
      </c>
      <c r="J65" s="8"/>
      <c r="K65" s="8"/>
      <c r="L65" s="8">
        <v>90000.0</v>
      </c>
      <c r="M65" s="8"/>
      <c r="N65" s="8"/>
      <c r="O65" s="8">
        <v>90000.0</v>
      </c>
      <c r="P65" s="8"/>
      <c r="Q65" s="8"/>
      <c r="R65" s="8">
        <v>90000.0</v>
      </c>
      <c r="S65" s="8"/>
      <c r="T65" s="8"/>
      <c r="U65" s="8">
        <v>90000.0</v>
      </c>
      <c r="V65" s="8"/>
      <c r="W65" s="8"/>
      <c r="X65" s="8">
        <v>90000.0</v>
      </c>
      <c r="Y65" s="8"/>
      <c r="Z65" s="8"/>
      <c r="AA65" s="8">
        <v>90000.0</v>
      </c>
      <c r="AB65" s="9"/>
    </row>
    <row r="66" hidden="1">
      <c r="B66" s="42"/>
      <c r="C66" s="41" t="s">
        <v>42</v>
      </c>
      <c r="D66" s="7"/>
      <c r="E66" s="8"/>
      <c r="F66" s="16">
        <v>102000.0</v>
      </c>
      <c r="G66" s="8"/>
      <c r="H66" s="8"/>
      <c r="I66" s="8">
        <v>105000.0</v>
      </c>
      <c r="J66" s="8"/>
      <c r="K66" s="8"/>
      <c r="L66" s="8">
        <v>105000.0</v>
      </c>
      <c r="M66" s="8"/>
      <c r="N66" s="8"/>
      <c r="O66" s="8">
        <v>105000.0</v>
      </c>
      <c r="P66" s="8"/>
      <c r="Q66" s="8"/>
      <c r="R66" s="8">
        <v>105000.0</v>
      </c>
      <c r="S66" s="8"/>
      <c r="T66" s="8"/>
      <c r="U66" s="8">
        <v>105000.0</v>
      </c>
      <c r="V66" s="8"/>
      <c r="W66" s="8"/>
      <c r="X66" s="8">
        <v>105000.0</v>
      </c>
      <c r="Y66" s="8"/>
      <c r="Z66" s="8"/>
      <c r="AA66" s="8">
        <v>105000.0</v>
      </c>
      <c r="AB66" s="9"/>
    </row>
    <row r="67" hidden="1">
      <c r="B67" s="5" t="s">
        <v>43</v>
      </c>
      <c r="C67" s="6"/>
      <c r="D67" s="7"/>
      <c r="E67" s="16">
        <v>30000.0</v>
      </c>
      <c r="F67" s="16">
        <v>142000.0</v>
      </c>
      <c r="G67" s="8"/>
      <c r="H67" s="8"/>
      <c r="I67" s="8">
        <v>170000.0</v>
      </c>
      <c r="J67" s="8"/>
      <c r="K67" s="8"/>
      <c r="L67" s="8">
        <v>170000.0</v>
      </c>
      <c r="M67" s="8"/>
      <c r="N67" s="8"/>
      <c r="O67" s="8">
        <v>170000.0</v>
      </c>
      <c r="P67" s="8"/>
      <c r="Q67" s="8"/>
      <c r="R67" s="8">
        <v>170000.0</v>
      </c>
      <c r="S67" s="8"/>
      <c r="T67" s="8"/>
      <c r="U67" s="8">
        <v>170000.0</v>
      </c>
      <c r="V67" s="8"/>
      <c r="W67" s="8"/>
      <c r="X67" s="8">
        <v>170000.0</v>
      </c>
      <c r="Y67" s="8"/>
      <c r="Z67" s="8"/>
      <c r="AA67" s="8">
        <v>170000.0</v>
      </c>
      <c r="AB67" s="9"/>
    </row>
    <row r="68" hidden="1">
      <c r="B68" s="40" t="s">
        <v>44</v>
      </c>
      <c r="C68" s="41" t="s">
        <v>41</v>
      </c>
      <c r="D68" s="7"/>
      <c r="E68" s="16">
        <v>26000.0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9"/>
      <c r="AB68" s="9"/>
    </row>
    <row r="69" hidden="1">
      <c r="B69" s="42"/>
      <c r="C69" s="41" t="s">
        <v>42</v>
      </c>
      <c r="D69" s="7"/>
      <c r="E69" s="16">
        <v>26000.0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9"/>
      <c r="AB69" s="9"/>
    </row>
    <row r="70" hidden="1">
      <c r="B70" s="36" t="s">
        <v>45</v>
      </c>
      <c r="C70" s="28"/>
      <c r="D70" s="29"/>
      <c r="E70" s="16">
        <v>81000.0</v>
      </c>
      <c r="F70" s="16">
        <v>60000.0</v>
      </c>
      <c r="G70" s="8">
        <v>37000.0</v>
      </c>
      <c r="H70" s="8">
        <v>37000.0</v>
      </c>
      <c r="I70" s="8">
        <v>37000.0</v>
      </c>
      <c r="J70" s="8">
        <v>37000.0</v>
      </c>
      <c r="K70" s="8">
        <v>37000.0</v>
      </c>
      <c r="L70" s="8">
        <v>37000.0</v>
      </c>
      <c r="M70" s="8">
        <v>37000.0</v>
      </c>
      <c r="N70" s="8">
        <v>37000.0</v>
      </c>
      <c r="O70" s="8">
        <v>37000.0</v>
      </c>
      <c r="P70" s="8">
        <v>37000.0</v>
      </c>
      <c r="Q70" s="8">
        <v>37000.0</v>
      </c>
      <c r="R70" s="8">
        <v>37000.0</v>
      </c>
      <c r="S70" s="8">
        <v>37000.0</v>
      </c>
      <c r="T70" s="8">
        <v>37000.0</v>
      </c>
      <c r="U70" s="8">
        <v>37000.0</v>
      </c>
      <c r="V70" s="8">
        <v>37000.0</v>
      </c>
      <c r="W70" s="8">
        <v>37000.0</v>
      </c>
      <c r="X70" s="8">
        <v>37000.0</v>
      </c>
      <c r="Y70" s="8"/>
      <c r="Z70" s="9"/>
      <c r="AA70" s="9"/>
      <c r="AB70" s="9"/>
    </row>
    <row r="71" hidden="1">
      <c r="B71" s="37"/>
      <c r="C71" s="38"/>
      <c r="D71" s="39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9"/>
      <c r="AB71" s="9"/>
    </row>
    <row r="72" hidden="1">
      <c r="B72" s="5" t="s">
        <v>46</v>
      </c>
      <c r="C72" s="6"/>
      <c r="D72" s="7"/>
      <c r="E72" s="16">
        <f t="shared" ref="E72:J72" si="17">15000*30</f>
        <v>450000</v>
      </c>
      <c r="F72" s="25">
        <f t="shared" si="17"/>
        <v>450000</v>
      </c>
      <c r="G72" s="8">
        <f t="shared" si="17"/>
        <v>450000</v>
      </c>
      <c r="H72" s="8">
        <f t="shared" si="17"/>
        <v>450000</v>
      </c>
      <c r="I72" s="8">
        <f t="shared" si="17"/>
        <v>450000</v>
      </c>
      <c r="J72" s="8">
        <f t="shared" si="17"/>
        <v>450000</v>
      </c>
      <c r="K72" s="8">
        <v>100000.0</v>
      </c>
      <c r="L72" s="8">
        <f t="shared" ref="L72:Y72" si="18">15000*30</f>
        <v>450000</v>
      </c>
      <c r="M72" s="8">
        <f t="shared" si="18"/>
        <v>450000</v>
      </c>
      <c r="N72" s="8">
        <f t="shared" si="18"/>
        <v>450000</v>
      </c>
      <c r="O72" s="8">
        <f t="shared" si="18"/>
        <v>450000</v>
      </c>
      <c r="P72" s="8">
        <f t="shared" si="18"/>
        <v>450000</v>
      </c>
      <c r="Q72" s="8">
        <f t="shared" si="18"/>
        <v>450000</v>
      </c>
      <c r="R72" s="8">
        <f t="shared" si="18"/>
        <v>450000</v>
      </c>
      <c r="S72" s="8">
        <f t="shared" si="18"/>
        <v>450000</v>
      </c>
      <c r="T72" s="8">
        <f t="shared" si="18"/>
        <v>450000</v>
      </c>
      <c r="U72" s="8">
        <f t="shared" si="18"/>
        <v>450000</v>
      </c>
      <c r="V72" s="8">
        <f t="shared" si="18"/>
        <v>450000</v>
      </c>
      <c r="W72" s="8">
        <f t="shared" si="18"/>
        <v>450000</v>
      </c>
      <c r="X72" s="8">
        <f t="shared" si="18"/>
        <v>450000</v>
      </c>
      <c r="Y72" s="8">
        <f t="shared" si="18"/>
        <v>450000</v>
      </c>
      <c r="Z72" s="9"/>
      <c r="AA72" s="9"/>
      <c r="AB72" s="9"/>
    </row>
    <row r="73" hidden="1">
      <c r="B73" s="36" t="s">
        <v>47</v>
      </c>
      <c r="C73" s="5" t="s">
        <v>48</v>
      </c>
      <c r="D73" s="7"/>
      <c r="E73" s="30">
        <v>776000.0</v>
      </c>
      <c r="F73" s="43"/>
      <c r="G73" s="44"/>
      <c r="H73" s="44"/>
      <c r="I73" s="4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  <c r="AA73" s="13"/>
      <c r="AB73" s="13"/>
    </row>
    <row r="74" hidden="1">
      <c r="B74" s="37"/>
      <c r="C74" s="45"/>
      <c r="D74" s="46"/>
      <c r="E74" s="30">
        <f>179000+320000</f>
        <v>499000</v>
      </c>
      <c r="F74" s="31">
        <v>175000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  <c r="AA74" s="13"/>
      <c r="AB74" s="13"/>
    </row>
    <row r="75" hidden="1">
      <c r="A75" s="18"/>
      <c r="B75" s="5" t="s">
        <v>12</v>
      </c>
      <c r="C75" s="6"/>
      <c r="D75" s="7"/>
      <c r="E75" s="12">
        <f t="shared" ref="E75:Y75" si="19">SUM(E51:E74)</f>
        <v>2444500</v>
      </c>
      <c r="F75" s="12">
        <f t="shared" si="19"/>
        <v>1613000</v>
      </c>
      <c r="G75" s="12">
        <f t="shared" si="19"/>
        <v>767000</v>
      </c>
      <c r="H75" s="12">
        <f t="shared" si="19"/>
        <v>1047000</v>
      </c>
      <c r="I75" s="12">
        <f t="shared" si="19"/>
        <v>1412000</v>
      </c>
      <c r="J75" s="12">
        <f t="shared" si="19"/>
        <v>1047000</v>
      </c>
      <c r="K75" s="12">
        <f t="shared" si="19"/>
        <v>257000</v>
      </c>
      <c r="L75" s="12">
        <f t="shared" si="19"/>
        <v>972000</v>
      </c>
      <c r="M75" s="12">
        <f t="shared" si="19"/>
        <v>607000</v>
      </c>
      <c r="N75" s="12">
        <f t="shared" si="19"/>
        <v>607000</v>
      </c>
      <c r="O75" s="12">
        <f t="shared" si="19"/>
        <v>972000</v>
      </c>
      <c r="P75" s="12">
        <f t="shared" si="19"/>
        <v>607000</v>
      </c>
      <c r="Q75" s="12">
        <f t="shared" si="19"/>
        <v>607000</v>
      </c>
      <c r="R75" s="12">
        <f t="shared" si="19"/>
        <v>972000</v>
      </c>
      <c r="S75" s="12">
        <f t="shared" si="19"/>
        <v>607000</v>
      </c>
      <c r="T75" s="12">
        <f t="shared" si="19"/>
        <v>607000</v>
      </c>
      <c r="U75" s="12">
        <f t="shared" si="19"/>
        <v>972000</v>
      </c>
      <c r="V75" s="12">
        <f t="shared" si="19"/>
        <v>607000</v>
      </c>
      <c r="W75" s="12">
        <f t="shared" si="19"/>
        <v>607000</v>
      </c>
      <c r="X75" s="12">
        <f t="shared" si="19"/>
        <v>972000</v>
      </c>
      <c r="Y75" s="12">
        <f t="shared" si="19"/>
        <v>570000</v>
      </c>
      <c r="Z75" s="13"/>
      <c r="AA75" s="13"/>
      <c r="AB75" s="13"/>
    </row>
    <row r="76" hidden="1">
      <c r="A76" s="18"/>
      <c r="B76" s="15"/>
      <c r="C76" s="15"/>
      <c r="D76" s="47"/>
      <c r="E76" s="11"/>
      <c r="F76" s="11"/>
      <c r="G76" s="11"/>
      <c r="H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hidden="1">
      <c r="A77" s="18"/>
      <c r="B77" s="5" t="s">
        <v>49</v>
      </c>
      <c r="C77" s="6"/>
      <c r="D77" s="7"/>
      <c r="E77" s="12">
        <f t="shared" ref="E77:Y77" si="20">SUM(E19,E32,E13,E45,E75)</f>
        <v>6267320</v>
      </c>
      <c r="F77" s="12">
        <f t="shared" si="20"/>
        <v>5110271</v>
      </c>
      <c r="G77" s="12">
        <f t="shared" si="20"/>
        <v>3378000</v>
      </c>
      <c r="H77" s="12">
        <f t="shared" si="20"/>
        <v>3942000</v>
      </c>
      <c r="I77" s="12">
        <f t="shared" si="20"/>
        <v>4448800</v>
      </c>
      <c r="J77" s="12">
        <f t="shared" si="20"/>
        <v>3942000</v>
      </c>
      <c r="K77" s="12">
        <f t="shared" si="20"/>
        <v>2998000</v>
      </c>
      <c r="L77" s="12">
        <f t="shared" si="20"/>
        <v>4433000</v>
      </c>
      <c r="M77" s="12">
        <f t="shared" si="20"/>
        <v>3531000</v>
      </c>
      <c r="N77" s="12">
        <f t="shared" si="20"/>
        <v>4073000</v>
      </c>
      <c r="O77" s="12">
        <f t="shared" si="20"/>
        <v>4508414</v>
      </c>
      <c r="P77" s="12">
        <f t="shared" si="20"/>
        <v>4113000</v>
      </c>
      <c r="Q77" s="12">
        <f t="shared" si="20"/>
        <v>4004000</v>
      </c>
      <c r="R77" s="12">
        <f t="shared" si="20"/>
        <v>4622000</v>
      </c>
      <c r="S77" s="12">
        <f t="shared" si="20"/>
        <v>4175000</v>
      </c>
      <c r="T77" s="12">
        <f t="shared" si="20"/>
        <v>3413000</v>
      </c>
      <c r="U77" s="12">
        <f t="shared" si="20"/>
        <v>3684000</v>
      </c>
      <c r="V77" s="12">
        <f t="shared" si="20"/>
        <v>3319000</v>
      </c>
      <c r="W77" s="12">
        <f t="shared" si="20"/>
        <v>2914000</v>
      </c>
      <c r="X77" s="12">
        <f t="shared" si="20"/>
        <v>3185000</v>
      </c>
      <c r="Y77" s="12">
        <f t="shared" si="20"/>
        <v>2733000</v>
      </c>
      <c r="Z77" s="13"/>
      <c r="AA77" s="13"/>
      <c r="AB77" s="13"/>
    </row>
    <row r="78" hidden="1">
      <c r="A78" s="18"/>
      <c r="B78" s="15"/>
      <c r="C78" s="15"/>
      <c r="D78" s="15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hidden="1">
      <c r="Z79" s="11"/>
      <c r="AA79" s="11"/>
      <c r="AB79" s="11"/>
    </row>
    <row r="80" hidden="1">
      <c r="B80" s="36" t="s">
        <v>50</v>
      </c>
      <c r="C80" s="40" t="s">
        <v>51</v>
      </c>
      <c r="D80" s="19" t="s">
        <v>52</v>
      </c>
      <c r="E80" s="8" t="s">
        <v>53</v>
      </c>
      <c r="F80" s="8" t="s">
        <v>54</v>
      </c>
      <c r="G80" s="8" t="s">
        <v>55</v>
      </c>
      <c r="H80" s="8" t="s">
        <v>56</v>
      </c>
      <c r="I80" s="10" t="s">
        <v>57</v>
      </c>
      <c r="J80" s="10" t="s">
        <v>58</v>
      </c>
      <c r="K80" s="8">
        <f t="shared" ref="K80:M80" si="21">$C$96/2</f>
        <v>1400000</v>
      </c>
      <c r="L80" s="8">
        <f t="shared" si="21"/>
        <v>1400000</v>
      </c>
      <c r="M80" s="8">
        <f t="shared" si="21"/>
        <v>1400000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1"/>
      <c r="AA80" s="11"/>
      <c r="AB80" s="11"/>
    </row>
    <row r="81" hidden="1">
      <c r="B81" s="32"/>
      <c r="C81" s="48"/>
      <c r="D81" s="49" t="s">
        <v>59</v>
      </c>
      <c r="E81" s="50"/>
      <c r="F81" s="50"/>
      <c r="G81" s="50"/>
      <c r="H81" s="50"/>
      <c r="I81" s="50"/>
      <c r="J81" s="50"/>
      <c r="K81" s="51">
        <v>0.0</v>
      </c>
      <c r="L81" s="51">
        <v>0.0</v>
      </c>
      <c r="M81" s="51">
        <v>0.0</v>
      </c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11"/>
      <c r="AA81" s="11"/>
      <c r="AB81" s="11"/>
    </row>
    <row r="82" hidden="1">
      <c r="B82" s="32"/>
      <c r="C82" s="48"/>
      <c r="D82" s="53" t="s">
        <v>60</v>
      </c>
      <c r="E82" s="8"/>
      <c r="F82" s="8"/>
      <c r="G82" s="8"/>
      <c r="H82" s="8"/>
      <c r="I82" s="8"/>
      <c r="J82" s="8"/>
      <c r="K82" s="51">
        <v>8.0</v>
      </c>
      <c r="L82" s="51">
        <v>32.0</v>
      </c>
      <c r="M82" s="51">
        <v>24.0</v>
      </c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11"/>
      <c r="AA82" s="11"/>
      <c r="AB82" s="11"/>
    </row>
    <row r="83" hidden="1">
      <c r="B83" s="32"/>
      <c r="C83" s="48"/>
      <c r="D83" s="53" t="s">
        <v>61</v>
      </c>
      <c r="E83" s="8"/>
      <c r="F83" s="8"/>
      <c r="G83" s="8"/>
      <c r="H83" s="8"/>
      <c r="I83" s="8"/>
      <c r="J83" s="8"/>
      <c r="K83" s="51">
        <v>0.0</v>
      </c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11"/>
      <c r="AA83" s="11"/>
      <c r="AB83" s="11"/>
    </row>
    <row r="84" hidden="1">
      <c r="B84" s="32"/>
      <c r="C84" s="48"/>
      <c r="D84" s="53" t="s">
        <v>62</v>
      </c>
      <c r="E84" s="8"/>
      <c r="F84" s="8"/>
      <c r="G84" s="8"/>
      <c r="H84" s="8"/>
      <c r="I84" s="8"/>
      <c r="J84" s="8"/>
      <c r="K84" s="8">
        <v>0.0</v>
      </c>
      <c r="L84" s="8">
        <v>115000.0</v>
      </c>
      <c r="M84" s="8">
        <v>115000.0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1"/>
      <c r="AA84" s="11"/>
      <c r="AB84" s="11"/>
    </row>
    <row r="85" hidden="1">
      <c r="B85" s="32"/>
      <c r="C85" s="48"/>
      <c r="D85" s="19" t="s">
        <v>63</v>
      </c>
      <c r="E85" s="10"/>
      <c r="F85" s="10"/>
      <c r="G85" s="10"/>
      <c r="H85" s="10"/>
      <c r="I85" s="10"/>
      <c r="J85" s="10"/>
      <c r="K85" s="8">
        <v>100000.0</v>
      </c>
      <c r="L85" s="8">
        <v>100000.0</v>
      </c>
      <c r="M85" s="8">
        <v>100000.0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1"/>
      <c r="AA85" s="11"/>
      <c r="AB85" s="11"/>
    </row>
    <row r="86" hidden="1">
      <c r="B86" s="32"/>
      <c r="C86" s="48"/>
      <c r="D86" s="19" t="s">
        <v>64</v>
      </c>
      <c r="E86" s="10"/>
      <c r="F86" s="10"/>
      <c r="G86" s="10"/>
      <c r="H86" s="10"/>
      <c r="I86" s="10"/>
      <c r="J86" s="10"/>
      <c r="K86" s="8">
        <v>460000.0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1"/>
      <c r="AA86" s="11"/>
      <c r="AB86" s="11"/>
    </row>
    <row r="87" hidden="1">
      <c r="B87" s="32"/>
      <c r="C87" s="42"/>
      <c r="D87" s="19" t="s">
        <v>65</v>
      </c>
      <c r="E87" s="12"/>
      <c r="F87" s="12"/>
      <c r="G87" s="12"/>
      <c r="H87" s="12"/>
      <c r="I87" s="12"/>
      <c r="J87" s="12"/>
      <c r="K87" s="12">
        <f t="shared" ref="K87:Y87" si="22">(K80+$C$96/220*1.25*K81+$C$96/220*0.8*K82+$C$96/220*0.35*K83+K86)*0.92+K84+K85</f>
        <v>1886138.182</v>
      </c>
      <c r="L87" s="12">
        <f t="shared" si="22"/>
        <v>1802752.727</v>
      </c>
      <c r="M87" s="12">
        <f t="shared" si="22"/>
        <v>1727814.545</v>
      </c>
      <c r="N87" s="12">
        <f t="shared" si="22"/>
        <v>0</v>
      </c>
      <c r="O87" s="12">
        <f t="shared" si="22"/>
        <v>0</v>
      </c>
      <c r="P87" s="12">
        <f t="shared" si="22"/>
        <v>0</v>
      </c>
      <c r="Q87" s="12">
        <f t="shared" si="22"/>
        <v>0</v>
      </c>
      <c r="R87" s="12">
        <f t="shared" si="22"/>
        <v>0</v>
      </c>
      <c r="S87" s="12">
        <f t="shared" si="22"/>
        <v>0</v>
      </c>
      <c r="T87" s="12">
        <f t="shared" si="22"/>
        <v>0</v>
      </c>
      <c r="U87" s="12">
        <f t="shared" si="22"/>
        <v>0</v>
      </c>
      <c r="V87" s="12">
        <f t="shared" si="22"/>
        <v>0</v>
      </c>
      <c r="W87" s="12">
        <f t="shared" si="22"/>
        <v>0</v>
      </c>
      <c r="X87" s="12">
        <f t="shared" si="22"/>
        <v>0</v>
      </c>
      <c r="Y87" s="12">
        <f t="shared" si="22"/>
        <v>0</v>
      </c>
      <c r="Z87" s="11"/>
      <c r="AA87" s="11"/>
      <c r="AB87" s="11"/>
    </row>
    <row r="88" hidden="1">
      <c r="B88" s="32"/>
      <c r="C88" s="40" t="s">
        <v>66</v>
      </c>
      <c r="D88" s="19" t="s">
        <v>52</v>
      </c>
      <c r="E88" s="8" t="s">
        <v>53</v>
      </c>
      <c r="F88" s="8" t="s">
        <v>54</v>
      </c>
      <c r="G88" s="8" t="s">
        <v>55</v>
      </c>
      <c r="H88" s="8" t="s">
        <v>56</v>
      </c>
      <c r="I88" s="10" t="s">
        <v>57</v>
      </c>
      <c r="J88" s="10" t="s">
        <v>58</v>
      </c>
      <c r="K88" s="8">
        <f t="shared" ref="K88:M88" si="23">$C$96/2</f>
        <v>1400000</v>
      </c>
      <c r="L88" s="8">
        <f t="shared" si="23"/>
        <v>1400000</v>
      </c>
      <c r="M88" s="8">
        <f t="shared" si="23"/>
        <v>1400000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1"/>
      <c r="AA88" s="11"/>
      <c r="AB88" s="11"/>
    </row>
    <row r="89" hidden="1">
      <c r="B89" s="32"/>
      <c r="C89" s="48"/>
      <c r="D89" s="49" t="s">
        <v>59</v>
      </c>
      <c r="E89" s="50"/>
      <c r="F89" s="50"/>
      <c r="G89" s="50"/>
      <c r="H89" s="50"/>
      <c r="I89" s="50"/>
      <c r="J89" s="50"/>
      <c r="K89" s="51">
        <v>0.0</v>
      </c>
      <c r="L89" s="51"/>
      <c r="M89" s="51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11"/>
      <c r="AA89" s="11"/>
      <c r="AB89" s="11"/>
    </row>
    <row r="90" hidden="1">
      <c r="B90" s="32"/>
      <c r="C90" s="48"/>
      <c r="D90" s="53" t="s">
        <v>60</v>
      </c>
      <c r="E90" s="8"/>
      <c r="F90" s="8"/>
      <c r="G90" s="8"/>
      <c r="H90" s="8"/>
      <c r="I90" s="8"/>
      <c r="J90" s="8"/>
      <c r="K90" s="51">
        <v>17.0</v>
      </c>
      <c r="L90" s="51">
        <v>24.0</v>
      </c>
      <c r="M90" s="51">
        <v>16.0</v>
      </c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11"/>
      <c r="AA90" s="11"/>
      <c r="AB90" s="11"/>
    </row>
    <row r="91" hidden="1">
      <c r="B91" s="32"/>
      <c r="C91" s="48"/>
      <c r="D91" s="53" t="s">
        <v>61</v>
      </c>
      <c r="E91" s="8"/>
      <c r="F91" s="8"/>
      <c r="G91" s="8"/>
      <c r="H91" s="8"/>
      <c r="I91" s="8"/>
      <c r="J91" s="8"/>
      <c r="K91" s="51">
        <v>0.0</v>
      </c>
      <c r="L91" s="52"/>
      <c r="M91" s="51">
        <v>12.0</v>
      </c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11"/>
      <c r="AA91" s="11"/>
      <c r="AB91" s="11"/>
    </row>
    <row r="92" hidden="1">
      <c r="B92" s="32"/>
      <c r="C92" s="48"/>
      <c r="D92" s="53" t="s">
        <v>62</v>
      </c>
      <c r="E92" s="8"/>
      <c r="F92" s="8"/>
      <c r="G92" s="8"/>
      <c r="H92" s="8"/>
      <c r="I92" s="8"/>
      <c r="J92" s="8"/>
      <c r="K92" s="8">
        <v>163000.0</v>
      </c>
      <c r="L92" s="8">
        <v>115000.0</v>
      </c>
      <c r="M92" s="8">
        <v>115000.0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1"/>
      <c r="AA92" s="11"/>
      <c r="AB92" s="11"/>
    </row>
    <row r="93" hidden="1">
      <c r="B93" s="32"/>
      <c r="C93" s="48"/>
      <c r="D93" s="19" t="s">
        <v>63</v>
      </c>
      <c r="E93" s="10"/>
      <c r="F93" s="10"/>
      <c r="G93" s="10"/>
      <c r="H93" s="10"/>
      <c r="I93" s="10"/>
      <c r="J93" s="10"/>
      <c r="K93" s="8">
        <v>100000.0</v>
      </c>
      <c r="L93" s="8">
        <v>100000.0</v>
      </c>
      <c r="M93" s="8">
        <v>100000.0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1"/>
      <c r="AA93" s="11"/>
      <c r="AB93" s="11"/>
    </row>
    <row r="94" hidden="1">
      <c r="B94" s="32"/>
      <c r="C94" s="48"/>
      <c r="D94" s="19" t="s">
        <v>64</v>
      </c>
      <c r="K94" s="54">
        <v>0.0</v>
      </c>
      <c r="L94" s="44"/>
      <c r="M94" s="44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1"/>
      <c r="AA94" s="11"/>
      <c r="AB94" s="11"/>
    </row>
    <row r="95" hidden="1">
      <c r="B95" s="32"/>
      <c r="C95" s="42"/>
      <c r="D95" s="19" t="s">
        <v>67</v>
      </c>
      <c r="E95" s="10"/>
      <c r="F95" s="10"/>
      <c r="G95" s="10"/>
      <c r="H95" s="10"/>
      <c r="I95" s="10"/>
      <c r="J95" s="10"/>
      <c r="K95" s="12">
        <f t="shared" ref="K95:Y95" si="24">(K88+$C$96/220*1.25*K89+$C$96/220*0.8*K90+$C$96/220*0.35*K91+K94)*0.92+K92+K93</f>
        <v>1710243.636</v>
      </c>
      <c r="L95" s="12">
        <f t="shared" si="24"/>
        <v>1727814.545</v>
      </c>
      <c r="M95" s="12">
        <f t="shared" si="24"/>
        <v>1702054.545</v>
      </c>
      <c r="N95" s="12">
        <f t="shared" si="24"/>
        <v>0</v>
      </c>
      <c r="O95" s="12">
        <f t="shared" si="24"/>
        <v>0</v>
      </c>
      <c r="P95" s="12">
        <f t="shared" si="24"/>
        <v>0</v>
      </c>
      <c r="Q95" s="12">
        <f t="shared" si="24"/>
        <v>0</v>
      </c>
      <c r="R95" s="12">
        <f t="shared" si="24"/>
        <v>0</v>
      </c>
      <c r="S95" s="12">
        <f t="shared" si="24"/>
        <v>0</v>
      </c>
      <c r="T95" s="12">
        <f t="shared" si="24"/>
        <v>0</v>
      </c>
      <c r="U95" s="12">
        <f t="shared" si="24"/>
        <v>0</v>
      </c>
      <c r="V95" s="12">
        <f t="shared" si="24"/>
        <v>0</v>
      </c>
      <c r="W95" s="12">
        <f t="shared" si="24"/>
        <v>0</v>
      </c>
      <c r="X95" s="12">
        <f t="shared" si="24"/>
        <v>0</v>
      </c>
      <c r="Y95" s="12">
        <f t="shared" si="24"/>
        <v>0</v>
      </c>
      <c r="Z95" s="11"/>
      <c r="AA95" s="11"/>
      <c r="AB95" s="11"/>
    </row>
    <row r="96" hidden="1">
      <c r="A96" s="18"/>
      <c r="B96" s="37"/>
      <c r="C96" s="55">
        <v>2800000.0</v>
      </c>
      <c r="D96" s="56" t="s">
        <v>68</v>
      </c>
      <c r="E96" s="55">
        <f t="shared" ref="E96:J96" si="25">SUM(E21,E34,E15,E47,E77)</f>
        <v>6565818</v>
      </c>
      <c r="F96" s="55">
        <f t="shared" si="25"/>
        <v>5423080</v>
      </c>
      <c r="G96" s="55">
        <f t="shared" si="25"/>
        <v>3676840</v>
      </c>
      <c r="H96" s="55">
        <f t="shared" si="25"/>
        <v>4251871</v>
      </c>
      <c r="I96" s="55">
        <f t="shared" si="25"/>
        <v>4758702</v>
      </c>
      <c r="J96" s="55">
        <f t="shared" si="25"/>
        <v>4251933</v>
      </c>
      <c r="K96" s="55">
        <f t="shared" ref="K96:Y96" si="26">SUM(K87,K95)</f>
        <v>3596381.818</v>
      </c>
      <c r="L96" s="55">
        <f t="shared" si="26"/>
        <v>3530567.273</v>
      </c>
      <c r="M96" s="55">
        <f t="shared" si="26"/>
        <v>3429869.091</v>
      </c>
      <c r="N96" s="55">
        <f t="shared" si="26"/>
        <v>0</v>
      </c>
      <c r="O96" s="55">
        <f t="shared" si="26"/>
        <v>0</v>
      </c>
      <c r="P96" s="55">
        <f t="shared" si="26"/>
        <v>0</v>
      </c>
      <c r="Q96" s="55">
        <f t="shared" si="26"/>
        <v>0</v>
      </c>
      <c r="R96" s="55">
        <f t="shared" si="26"/>
        <v>0</v>
      </c>
      <c r="S96" s="55">
        <f t="shared" si="26"/>
        <v>0</v>
      </c>
      <c r="T96" s="55">
        <f t="shared" si="26"/>
        <v>0</v>
      </c>
      <c r="U96" s="55">
        <f t="shared" si="26"/>
        <v>0</v>
      </c>
      <c r="V96" s="55">
        <f t="shared" si="26"/>
        <v>0</v>
      </c>
      <c r="W96" s="55">
        <f t="shared" si="26"/>
        <v>0</v>
      </c>
      <c r="X96" s="55">
        <f t="shared" si="26"/>
        <v>0</v>
      </c>
      <c r="Y96" s="55">
        <f t="shared" si="26"/>
        <v>0</v>
      </c>
      <c r="Z96" s="11"/>
      <c r="AA96" s="11"/>
      <c r="AB96" s="11"/>
    </row>
    <row r="97">
      <c r="A97" s="18"/>
      <c r="B97" s="15"/>
      <c r="Z97" s="11"/>
      <c r="AA97" s="11"/>
      <c r="AB97" s="11"/>
    </row>
    <row r="98">
      <c r="A98" s="18"/>
      <c r="B98" s="15"/>
      <c r="Z98" s="11"/>
      <c r="AA98" s="11"/>
      <c r="AB98" s="11"/>
    </row>
    <row r="99">
      <c r="A99" s="18"/>
      <c r="B99" s="15"/>
      <c r="Z99" s="11"/>
      <c r="AA99" s="11"/>
      <c r="AB99" s="11"/>
    </row>
    <row r="100">
      <c r="A100" s="18"/>
      <c r="B100" s="15"/>
      <c r="Z100" s="11"/>
      <c r="AA100" s="11"/>
      <c r="AB100" s="11"/>
    </row>
    <row r="101">
      <c r="A101" s="18"/>
      <c r="B101" s="15"/>
      <c r="P101" s="57" t="s">
        <v>69</v>
      </c>
      <c r="Q101" s="57" t="s">
        <v>70</v>
      </c>
      <c r="Z101" s="11"/>
      <c r="AA101" s="11"/>
      <c r="AB101" s="11"/>
    </row>
    <row r="102">
      <c r="A102" s="18"/>
      <c r="B102" s="15"/>
      <c r="C102" s="15"/>
      <c r="D102" s="15"/>
      <c r="E102" s="11"/>
      <c r="F102" s="11"/>
      <c r="G102" s="11"/>
      <c r="H102" s="11"/>
      <c r="I102" s="11"/>
      <c r="J102" s="11"/>
      <c r="K102" s="11"/>
      <c r="L102" s="11"/>
      <c r="M102" s="44" t="s">
        <v>71</v>
      </c>
      <c r="N102" s="58">
        <v>44958.0</v>
      </c>
      <c r="O102" s="58">
        <f t="shared" ref="O102:O107" si="27">N102+1096</f>
        <v>46054</v>
      </c>
      <c r="P102" s="59" t="str">
        <f t="shared" ref="P102:P107" si="28">DATEDIF(N102, TODAY(), "Y") &amp; "Y/" &amp; DATEDIF(N102, TODAY(), "YM") &amp; "M/" &amp; DATEDIF(N102, TODAY(), "MD") &amp; "D"</f>
        <v>3Y/4M/29D</v>
      </c>
      <c r="Q102" s="11" t="str">
        <f t="shared" ref="Q102:Q107" si="29">DATEDIF(TODAY(), DATE(YEAR(N102)+5, MONTH(N102), DAY(N102)), "Y") &amp; "Y/" &amp; DATEDIF(TODAY(), DATE(YEAR(N102)+5, MONTH(N102), DAY(N102)), "YM") &amp; "M/" &amp; DATEDIF(TODAY(), DATE(YEAR(N102)+5, MONTH(N102), DAY(N102)), "MD") &amp; "D"</f>
        <v>1Y/7M/2D</v>
      </c>
      <c r="R102" s="60">
        <f t="shared" ref="R102:R107" si="30">DATEDIF(N102, TODAY(), "M") / 12</f>
        <v>3.333333333</v>
      </c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8"/>
      <c r="B103" s="15"/>
      <c r="C103" s="15"/>
      <c r="D103" s="15"/>
      <c r="E103" s="11"/>
      <c r="F103" s="11"/>
      <c r="G103" s="11"/>
      <c r="H103" s="11"/>
      <c r="I103" s="11"/>
      <c r="J103" s="11"/>
      <c r="K103" s="11"/>
      <c r="L103" s="11"/>
      <c r="M103" s="44" t="s">
        <v>72</v>
      </c>
      <c r="N103" s="58">
        <v>44960.0</v>
      </c>
      <c r="O103" s="58">
        <f t="shared" si="27"/>
        <v>46056</v>
      </c>
      <c r="P103" s="59" t="str">
        <f t="shared" si="28"/>
        <v>3Y/4M/27D</v>
      </c>
      <c r="Q103" s="11" t="str">
        <f t="shared" si="29"/>
        <v>1Y/7M/4D</v>
      </c>
      <c r="R103" s="60">
        <f t="shared" si="30"/>
        <v>3.333333333</v>
      </c>
      <c r="S103" s="11"/>
      <c r="T103" s="61" t="s">
        <v>73</v>
      </c>
      <c r="U103" s="61" t="s">
        <v>74</v>
      </c>
      <c r="V103" s="61" t="s">
        <v>75</v>
      </c>
      <c r="W103" s="61" t="s">
        <v>19</v>
      </c>
      <c r="X103" s="61" t="s">
        <v>76</v>
      </c>
      <c r="Z103" s="11"/>
      <c r="AA103" s="11"/>
      <c r="AB103" s="11"/>
    </row>
    <row r="104">
      <c r="A104" s="18"/>
      <c r="B104" s="15"/>
      <c r="C104" s="15"/>
      <c r="D104" s="15"/>
      <c r="E104" s="11"/>
      <c r="F104" s="11"/>
      <c r="G104" s="11"/>
      <c r="H104" s="11"/>
      <c r="I104" s="11"/>
      <c r="J104" s="11"/>
      <c r="K104" s="11"/>
      <c r="L104" s="11"/>
      <c r="M104" s="44" t="s">
        <v>72</v>
      </c>
      <c r="N104" s="58">
        <v>44963.0</v>
      </c>
      <c r="O104" s="58">
        <f t="shared" si="27"/>
        <v>46059</v>
      </c>
      <c r="P104" s="59" t="str">
        <f t="shared" si="28"/>
        <v>3Y/4M/24D</v>
      </c>
      <c r="Q104" s="11" t="str">
        <f t="shared" si="29"/>
        <v>1Y/7M/7D</v>
      </c>
      <c r="R104" s="60">
        <f t="shared" si="30"/>
        <v>3.333333333</v>
      </c>
      <c r="S104" s="11"/>
      <c r="T104" s="58">
        <v>45823.0</v>
      </c>
      <c r="U104" s="58">
        <v>45828.0</v>
      </c>
      <c r="V104" s="8">
        <v>150000.0</v>
      </c>
      <c r="W104" s="8">
        <f t="shared" ref="W104:W110" si="31">V104-150000</f>
        <v>0</v>
      </c>
      <c r="X104" s="8">
        <v>150000.0</v>
      </c>
      <c r="Y104" s="11"/>
      <c r="Z104" s="11"/>
      <c r="AA104" s="11"/>
      <c r="AB104" s="11"/>
    </row>
    <row r="105">
      <c r="A105" s="18"/>
      <c r="B105" s="15"/>
      <c r="C105" s="15"/>
      <c r="D105" s="15"/>
      <c r="E105" s="11"/>
      <c r="F105" s="11"/>
      <c r="G105" s="11"/>
      <c r="H105" s="11"/>
      <c r="I105" s="11"/>
      <c r="J105" s="11"/>
      <c r="K105" s="11"/>
      <c r="L105" s="11"/>
      <c r="M105" s="44" t="s">
        <v>72</v>
      </c>
      <c r="N105" s="58">
        <v>45305.0</v>
      </c>
      <c r="O105" s="58">
        <f t="shared" si="27"/>
        <v>46401</v>
      </c>
      <c r="P105" s="59" t="str">
        <f t="shared" si="28"/>
        <v>2Y/5M/16D</v>
      </c>
      <c r="Q105" s="11" t="str">
        <f t="shared" si="29"/>
        <v>2Y/6M/15D</v>
      </c>
      <c r="R105" s="60">
        <f t="shared" si="30"/>
        <v>2.416666667</v>
      </c>
      <c r="S105" s="11"/>
      <c r="T105" s="58">
        <v>45853.0</v>
      </c>
      <c r="U105" s="58">
        <v>45870.0</v>
      </c>
      <c r="V105" s="8">
        <v>150000.0</v>
      </c>
      <c r="W105" s="8">
        <f t="shared" si="31"/>
        <v>0</v>
      </c>
      <c r="X105" s="8">
        <v>150000.0</v>
      </c>
      <c r="Y105" s="11"/>
      <c r="Z105" s="11"/>
      <c r="AA105" s="11"/>
      <c r="AB105" s="11"/>
    </row>
    <row r="106">
      <c r="A106" s="18"/>
      <c r="B106" s="15"/>
      <c r="C106" s="15"/>
      <c r="D106" s="15"/>
      <c r="E106" s="11"/>
      <c r="F106" s="11"/>
      <c r="J106" s="11"/>
      <c r="K106" s="11"/>
      <c r="L106" s="11"/>
      <c r="M106" s="44" t="s">
        <v>77</v>
      </c>
      <c r="N106" s="58">
        <v>45265.0</v>
      </c>
      <c r="O106" s="58">
        <f t="shared" si="27"/>
        <v>46361</v>
      </c>
      <c r="P106" s="59" t="str">
        <f t="shared" si="28"/>
        <v>2Y/6M/25D</v>
      </c>
      <c r="Q106" s="11" t="str">
        <f t="shared" si="29"/>
        <v>2Y/5M/5D</v>
      </c>
      <c r="R106" s="60">
        <f t="shared" si="30"/>
        <v>2.5</v>
      </c>
      <c r="S106" s="11"/>
      <c r="T106" s="58">
        <v>45884.0</v>
      </c>
      <c r="U106" s="58">
        <v>45906.0</v>
      </c>
      <c r="V106" s="8">
        <v>150000.0</v>
      </c>
      <c r="W106" s="8">
        <f t="shared" si="31"/>
        <v>0</v>
      </c>
      <c r="X106" s="8">
        <v>150000.0</v>
      </c>
      <c r="Y106" s="11"/>
      <c r="Z106" s="11"/>
      <c r="AA106" s="11"/>
      <c r="AB106" s="11"/>
    </row>
    <row r="107">
      <c r="A107" s="18"/>
      <c r="B107" s="15"/>
      <c r="C107" s="15"/>
      <c r="D107" s="15"/>
      <c r="E107" s="11"/>
      <c r="F107" s="11"/>
      <c r="J107" s="11"/>
      <c r="K107" s="11"/>
      <c r="L107" s="11"/>
      <c r="M107" s="44" t="s">
        <v>78</v>
      </c>
      <c r="N107" s="58">
        <v>44906.0</v>
      </c>
      <c r="O107" s="58">
        <f t="shared" si="27"/>
        <v>46002</v>
      </c>
      <c r="P107" s="59" t="str">
        <f t="shared" si="28"/>
        <v>3Y/6M/19D</v>
      </c>
      <c r="Q107" s="11" t="str">
        <f t="shared" si="29"/>
        <v>1Y/5M/11D</v>
      </c>
      <c r="R107" s="60">
        <f t="shared" si="30"/>
        <v>3.5</v>
      </c>
      <c r="S107" s="11"/>
      <c r="T107" s="58">
        <v>45915.0</v>
      </c>
      <c r="U107" s="58">
        <v>45972.0</v>
      </c>
      <c r="V107" s="8">
        <v>150000.0</v>
      </c>
      <c r="W107" s="8">
        <f t="shared" si="31"/>
        <v>0</v>
      </c>
      <c r="X107" s="8">
        <v>150000.0</v>
      </c>
      <c r="Y107" s="11"/>
      <c r="Z107" s="11"/>
      <c r="AA107" s="11"/>
      <c r="AB107" s="11"/>
    </row>
    <row r="108">
      <c r="A108" s="18"/>
      <c r="B108" s="15"/>
      <c r="C108" s="15"/>
      <c r="D108" s="15"/>
      <c r="E108" s="11"/>
      <c r="F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58">
        <v>45945.0</v>
      </c>
      <c r="U108" s="58">
        <v>46006.0</v>
      </c>
      <c r="V108" s="8">
        <v>150000.0</v>
      </c>
      <c r="W108" s="8">
        <f t="shared" si="31"/>
        <v>0</v>
      </c>
      <c r="X108" s="8">
        <v>150000.0</v>
      </c>
      <c r="Y108" s="11"/>
      <c r="Z108" s="11"/>
      <c r="AA108" s="11"/>
      <c r="AB108" s="11"/>
    </row>
    <row r="109">
      <c r="A109" s="18"/>
      <c r="B109" s="15"/>
      <c r="C109" s="15"/>
      <c r="D109" s="15"/>
      <c r="E109" s="11"/>
      <c r="F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58">
        <v>45976.0</v>
      </c>
      <c r="U109" s="58">
        <v>46055.0</v>
      </c>
      <c r="V109" s="8">
        <v>150000.0</v>
      </c>
      <c r="W109" s="8">
        <f t="shared" si="31"/>
        <v>0</v>
      </c>
      <c r="X109" s="8">
        <v>150000.0</v>
      </c>
      <c r="Y109" s="11"/>
      <c r="Z109" s="11"/>
      <c r="AA109" s="11"/>
      <c r="AB109" s="11"/>
    </row>
    <row r="110">
      <c r="A110" s="18"/>
      <c r="B110" s="15"/>
      <c r="C110" s="15"/>
      <c r="D110" s="15"/>
      <c r="E110" s="11"/>
      <c r="F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58">
        <v>46006.0</v>
      </c>
      <c r="U110" s="58">
        <v>46055.0</v>
      </c>
      <c r="V110" s="8">
        <v>50000.0</v>
      </c>
      <c r="W110" s="8">
        <f t="shared" si="31"/>
        <v>-100000</v>
      </c>
      <c r="X110" s="8">
        <v>150000.0</v>
      </c>
      <c r="Y110" s="54" t="s">
        <v>79</v>
      </c>
      <c r="Z110" s="11"/>
      <c r="AA110" s="11"/>
      <c r="AB110" s="11"/>
    </row>
    <row r="111">
      <c r="A111" s="18"/>
      <c r="B111" s="15"/>
      <c r="C111" s="15"/>
      <c r="D111" s="15"/>
      <c r="E111" s="11"/>
      <c r="F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58">
        <v>46037.0</v>
      </c>
      <c r="U111" s="8" t="s">
        <v>80</v>
      </c>
      <c r="V111" s="8">
        <v>0.0</v>
      </c>
      <c r="W111" s="8">
        <f t="shared" ref="W111:W116" si="32">V111-200000</f>
        <v>-200000</v>
      </c>
      <c r="X111" s="8">
        <v>200000.0</v>
      </c>
      <c r="Y111" s="11"/>
      <c r="Z111" s="11"/>
      <c r="AA111" s="11"/>
      <c r="AB111" s="11"/>
    </row>
    <row r="112">
      <c r="A112" s="18"/>
      <c r="B112" s="15"/>
      <c r="C112" s="15"/>
      <c r="D112" s="15"/>
      <c r="E112" s="11"/>
      <c r="F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58">
        <v>46068.0</v>
      </c>
      <c r="U112" s="8" t="s">
        <v>80</v>
      </c>
      <c r="V112" s="8">
        <v>0.0</v>
      </c>
      <c r="W112" s="8">
        <f t="shared" si="32"/>
        <v>-200000</v>
      </c>
      <c r="X112" s="8">
        <v>200000.0</v>
      </c>
      <c r="Y112" s="11"/>
      <c r="Z112" s="11"/>
      <c r="AA112" s="11"/>
      <c r="AB112" s="11"/>
    </row>
    <row r="113">
      <c r="A113" s="18"/>
      <c r="B113" s="15"/>
      <c r="C113" s="15"/>
      <c r="D113" s="15"/>
      <c r="E113" s="11"/>
      <c r="F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58">
        <v>46096.0</v>
      </c>
      <c r="U113" s="8" t="s">
        <v>80</v>
      </c>
      <c r="V113" s="8">
        <v>0.0</v>
      </c>
      <c r="W113" s="8">
        <f t="shared" si="32"/>
        <v>-200000</v>
      </c>
      <c r="X113" s="8">
        <v>200000.0</v>
      </c>
      <c r="Y113" s="11"/>
      <c r="Z113" s="11"/>
      <c r="AA113" s="11"/>
      <c r="AB113" s="11"/>
    </row>
    <row r="114">
      <c r="A114" s="18"/>
      <c r="B114" s="15"/>
      <c r="C114" s="15"/>
      <c r="D114" s="15"/>
      <c r="E114" s="11"/>
      <c r="F114" s="11"/>
      <c r="G114" s="62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58">
        <v>46127.0</v>
      </c>
      <c r="U114" s="8" t="s">
        <v>80</v>
      </c>
      <c r="V114" s="8">
        <v>0.0</v>
      </c>
      <c r="W114" s="8">
        <f t="shared" si="32"/>
        <v>-200000</v>
      </c>
      <c r="X114" s="8">
        <v>200000.0</v>
      </c>
      <c r="Y114" s="63" t="s">
        <v>81</v>
      </c>
      <c r="Z114" s="7"/>
      <c r="AA114" s="64">
        <f>sum(X111:X116)+100000</f>
        <v>1300000</v>
      </c>
      <c r="AB114" s="11"/>
    </row>
    <row r="115">
      <c r="A115" s="18"/>
      <c r="B115" s="15"/>
      <c r="C115" s="15"/>
      <c r="D115" s="15"/>
      <c r="E115" s="11"/>
      <c r="F115" s="11"/>
      <c r="G115" s="62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58">
        <v>46157.0</v>
      </c>
      <c r="U115" s="8" t="s">
        <v>80</v>
      </c>
      <c r="V115" s="8">
        <v>0.0</v>
      </c>
      <c r="W115" s="8">
        <f t="shared" si="32"/>
        <v>-200000</v>
      </c>
      <c r="X115" s="8">
        <v>200000.0</v>
      </c>
      <c r="Y115" s="11"/>
      <c r="Z115" s="11"/>
      <c r="AA115" s="11"/>
      <c r="AB115" s="11"/>
    </row>
    <row r="116">
      <c r="A116" s="18"/>
      <c r="B116" s="15"/>
      <c r="C116" s="15"/>
      <c r="D116" s="15"/>
      <c r="E116" s="11"/>
      <c r="F116" s="11"/>
      <c r="G116" s="11"/>
      <c r="H116" s="11"/>
      <c r="I116" s="11"/>
      <c r="J116" s="11"/>
      <c r="K116" s="11"/>
      <c r="L116" s="11"/>
      <c r="M116" s="11"/>
      <c r="O116" s="11"/>
      <c r="P116" s="11"/>
      <c r="Q116" s="11"/>
      <c r="R116" s="11"/>
      <c r="S116" s="11"/>
      <c r="T116" s="58">
        <v>46188.0</v>
      </c>
      <c r="U116" s="8" t="s">
        <v>80</v>
      </c>
      <c r="V116" s="8">
        <v>0.0</v>
      </c>
      <c r="W116" s="8">
        <f t="shared" si="32"/>
        <v>-200000</v>
      </c>
      <c r="X116" s="8">
        <v>200000.0</v>
      </c>
      <c r="Y116" s="11"/>
      <c r="Z116" s="11"/>
      <c r="AA116" s="11"/>
      <c r="AB116" s="11"/>
    </row>
    <row r="117">
      <c r="A117" s="18"/>
      <c r="B117" s="15"/>
      <c r="C117" s="15"/>
      <c r="D117" s="15"/>
      <c r="E117" s="11"/>
      <c r="F117" s="11"/>
      <c r="G117" s="11"/>
      <c r="H117" s="11"/>
      <c r="I117" s="11"/>
      <c r="J117" s="11"/>
      <c r="K117" s="11"/>
      <c r="L117" s="11"/>
      <c r="M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8"/>
      <c r="B118" s="15"/>
      <c r="C118" s="15"/>
      <c r="D118" s="15"/>
      <c r="E118" s="11"/>
      <c r="F118" s="11"/>
      <c r="G118" s="11"/>
      <c r="H118" s="11"/>
      <c r="I118" s="11"/>
      <c r="J118" s="11"/>
      <c r="K118" s="11"/>
      <c r="L118" s="11"/>
      <c r="M118" s="11"/>
      <c r="O118" s="11"/>
      <c r="P118" s="11"/>
      <c r="Q118" s="11"/>
      <c r="R118" s="9" t="s">
        <v>82</v>
      </c>
      <c r="S118" s="9">
        <v>600000.0</v>
      </c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8"/>
      <c r="B119" s="15"/>
      <c r="C119" s="15"/>
      <c r="D119" s="15"/>
      <c r="E119" s="11"/>
      <c r="F119" s="11"/>
      <c r="G119" s="11"/>
      <c r="H119" s="11"/>
      <c r="I119" s="11"/>
      <c r="J119" s="11"/>
      <c r="K119" s="11"/>
      <c r="L119" s="53" t="s">
        <v>83</v>
      </c>
      <c r="M119" s="53" t="s">
        <v>84</v>
      </c>
      <c r="N119" s="53" t="s">
        <v>85</v>
      </c>
      <c r="O119" s="65" t="s">
        <v>86</v>
      </c>
      <c r="P119" s="7"/>
      <c r="Q119" s="53" t="s">
        <v>76</v>
      </c>
      <c r="R119" s="53" t="s">
        <v>73</v>
      </c>
      <c r="S119" s="53" t="s">
        <v>19</v>
      </c>
      <c r="U119" s="66">
        <f t="shared" ref="U119:AB119" si="33">N1</f>
        <v>46057</v>
      </c>
      <c r="V119" s="66">
        <f t="shared" si="33"/>
        <v>46088</v>
      </c>
      <c r="W119" s="66">
        <f t="shared" si="33"/>
        <v>46119</v>
      </c>
      <c r="X119" s="66">
        <f t="shared" si="33"/>
        <v>46150</v>
      </c>
      <c r="Y119" s="66">
        <f t="shared" si="33"/>
        <v>46181</v>
      </c>
      <c r="Z119" s="66">
        <f t="shared" si="33"/>
        <v>46212</v>
      </c>
      <c r="AA119" s="66">
        <f t="shared" si="33"/>
        <v>46243</v>
      </c>
      <c r="AB119" s="66">
        <f t="shared" si="33"/>
        <v>46274</v>
      </c>
    </row>
    <row r="120">
      <c r="A120" s="18"/>
      <c r="B120" s="15"/>
      <c r="C120" s="11">
        <f t="shared" ref="C120:C132" si="35">Q120/M120</f>
        <v>28083.33333</v>
      </c>
      <c r="D120" s="47">
        <f t="shared" ref="D120:D132" si="36">C120*N120</f>
        <v>0</v>
      </c>
      <c r="E120" s="11"/>
      <c r="F120" s="11"/>
      <c r="G120" s="11"/>
      <c r="H120" s="11"/>
      <c r="I120" s="11"/>
      <c r="J120" s="11"/>
      <c r="K120" s="11"/>
      <c r="L120" s="67">
        <v>45735.0</v>
      </c>
      <c r="M120" s="68">
        <v>12.0</v>
      </c>
      <c r="N120" s="68">
        <f t="shared" ref="N120:N133" si="37">MAX(0, M120 - ((YEAR(TODAY())*12 + MONTH(TODAY())) - (YEAR(L120)*12 + MONTH(L120))))</f>
        <v>0</v>
      </c>
      <c r="O120" s="69" t="s">
        <v>87</v>
      </c>
      <c r="P120" s="7"/>
      <c r="Q120" s="70">
        <v>337000.0</v>
      </c>
      <c r="R120" s="70">
        <v>28083.0</v>
      </c>
      <c r="S120" s="71">
        <v>0.0</v>
      </c>
      <c r="U120" s="11">
        <f t="shared" ref="U120:AB120" si="34">IF(AND(U$119 &gt; $L120, (YEAR(U$119)*12 + MONTH(U$119)) - (YEAR($L120)*12 + MONTH($L120)) &lt;= $M120), $R120, 0)</f>
        <v>28083</v>
      </c>
      <c r="V120" s="11">
        <f t="shared" si="34"/>
        <v>28083</v>
      </c>
      <c r="W120" s="11">
        <f t="shared" si="34"/>
        <v>0</v>
      </c>
      <c r="X120" s="11">
        <f t="shared" si="34"/>
        <v>0</v>
      </c>
      <c r="Y120" s="11">
        <f t="shared" si="34"/>
        <v>0</v>
      </c>
      <c r="Z120" s="11">
        <f t="shared" si="34"/>
        <v>0</v>
      </c>
      <c r="AA120" s="11">
        <f t="shared" si="34"/>
        <v>0</v>
      </c>
      <c r="AB120" s="11">
        <f t="shared" si="34"/>
        <v>0</v>
      </c>
    </row>
    <row r="121">
      <c r="A121" s="18"/>
      <c r="B121" s="15"/>
      <c r="C121" s="11">
        <f t="shared" si="35"/>
        <v>62500</v>
      </c>
      <c r="D121" s="47">
        <f t="shared" si="36"/>
        <v>0</v>
      </c>
      <c r="E121" s="11"/>
      <c r="F121" s="11"/>
      <c r="G121" s="11"/>
      <c r="H121" s="11"/>
      <c r="I121" s="11"/>
      <c r="J121" s="11"/>
      <c r="K121" s="11"/>
      <c r="L121" s="67">
        <v>45735.0</v>
      </c>
      <c r="M121" s="68">
        <v>12.0</v>
      </c>
      <c r="N121" s="68">
        <f t="shared" si="37"/>
        <v>0</v>
      </c>
      <c r="O121" s="69" t="s">
        <v>87</v>
      </c>
      <c r="P121" s="7"/>
      <c r="Q121" s="70">
        <v>750000.0</v>
      </c>
      <c r="R121" s="70">
        <v>50729.0</v>
      </c>
      <c r="S121" s="71">
        <v>0.0</v>
      </c>
      <c r="U121" s="11">
        <f t="shared" ref="U121:AB121" si="38">IF(AND(U$119 &gt; $L121, (YEAR(U$119)*12 + MONTH(U$119)) - (YEAR($L121)*12 + MONTH($L121)) &lt;= $M121), $R121, 0)</f>
        <v>50729</v>
      </c>
      <c r="V121" s="11">
        <f t="shared" si="38"/>
        <v>50729</v>
      </c>
      <c r="W121" s="11">
        <f t="shared" si="38"/>
        <v>0</v>
      </c>
      <c r="X121" s="11">
        <f t="shared" si="38"/>
        <v>0</v>
      </c>
      <c r="Y121" s="11">
        <f t="shared" si="38"/>
        <v>0</v>
      </c>
      <c r="Z121" s="11">
        <f t="shared" si="38"/>
        <v>0</v>
      </c>
      <c r="AA121" s="11">
        <f t="shared" si="38"/>
        <v>0</v>
      </c>
      <c r="AB121" s="11">
        <f t="shared" si="38"/>
        <v>0</v>
      </c>
    </row>
    <row r="122">
      <c r="A122" s="18"/>
      <c r="B122" s="15"/>
      <c r="C122" s="11">
        <f t="shared" si="35"/>
        <v>36100</v>
      </c>
      <c r="D122" s="47">
        <f t="shared" si="36"/>
        <v>0</v>
      </c>
      <c r="E122" s="11"/>
      <c r="F122" s="11"/>
      <c r="G122" s="11"/>
      <c r="H122" s="11"/>
      <c r="I122" s="11"/>
      <c r="J122" s="11"/>
      <c r="K122" s="11"/>
      <c r="L122" s="67">
        <v>45754.0</v>
      </c>
      <c r="M122" s="68">
        <v>12.0</v>
      </c>
      <c r="N122" s="68">
        <f t="shared" si="37"/>
        <v>0</v>
      </c>
      <c r="O122" s="69" t="s">
        <v>88</v>
      </c>
      <c r="P122" s="7"/>
      <c r="Q122" s="70">
        <v>433200.0</v>
      </c>
      <c r="R122" s="70">
        <v>39678.0</v>
      </c>
      <c r="S122" s="71">
        <v>36100.0</v>
      </c>
      <c r="U122" s="11">
        <f t="shared" ref="U122:AB122" si="39">IF(AND(U$119 &gt; $L122, (YEAR(U$119)*12 + MONTH(U$119)) - (YEAR($L122)*12 + MONTH($L122)) &lt;= $M122), $R122, 0)</f>
        <v>39678</v>
      </c>
      <c r="V122" s="11">
        <f t="shared" si="39"/>
        <v>39678</v>
      </c>
      <c r="W122" s="11">
        <f t="shared" si="39"/>
        <v>39678</v>
      </c>
      <c r="X122" s="11">
        <f t="shared" si="39"/>
        <v>0</v>
      </c>
      <c r="Y122" s="11">
        <f t="shared" si="39"/>
        <v>0</v>
      </c>
      <c r="Z122" s="11">
        <f t="shared" si="39"/>
        <v>0</v>
      </c>
      <c r="AA122" s="11">
        <f t="shared" si="39"/>
        <v>0</v>
      </c>
      <c r="AB122" s="11">
        <f t="shared" si="39"/>
        <v>0</v>
      </c>
    </row>
    <row r="123">
      <c r="A123" s="18"/>
      <c r="B123" s="15"/>
      <c r="C123" s="11">
        <f t="shared" si="35"/>
        <v>8557.291667</v>
      </c>
      <c r="D123" s="47">
        <f t="shared" si="36"/>
        <v>102687.5</v>
      </c>
      <c r="E123" s="11"/>
      <c r="F123" s="11"/>
      <c r="G123" s="11"/>
      <c r="H123" s="11"/>
      <c r="I123" s="11"/>
      <c r="J123" s="11"/>
      <c r="K123" s="11"/>
      <c r="L123" s="67">
        <v>45834.0</v>
      </c>
      <c r="M123" s="68">
        <v>24.0</v>
      </c>
      <c r="N123" s="68">
        <f t="shared" si="37"/>
        <v>12</v>
      </c>
      <c r="O123" s="69" t="s">
        <v>89</v>
      </c>
      <c r="P123" s="7"/>
      <c r="Q123" s="70">
        <v>205375.0</v>
      </c>
      <c r="R123" s="70">
        <v>11720.0</v>
      </c>
      <c r="S123" s="71">
        <v>128359.0</v>
      </c>
      <c r="U123" s="11">
        <f t="shared" ref="U123:AB123" si="40">IF(AND(U$119 &gt; $L123, (YEAR(U$119)*12 + MONTH(U$119)) - (YEAR($L123)*12 + MONTH($L123)) &lt;= $M123), $R123, 0)</f>
        <v>11720</v>
      </c>
      <c r="V123" s="11">
        <f t="shared" si="40"/>
        <v>11720</v>
      </c>
      <c r="W123" s="11">
        <f t="shared" si="40"/>
        <v>11720</v>
      </c>
      <c r="X123" s="11">
        <f t="shared" si="40"/>
        <v>11720</v>
      </c>
      <c r="Y123" s="11">
        <f t="shared" si="40"/>
        <v>11720</v>
      </c>
      <c r="Z123" s="11">
        <f t="shared" si="40"/>
        <v>11720</v>
      </c>
      <c r="AA123" s="11">
        <f t="shared" si="40"/>
        <v>11720</v>
      </c>
      <c r="AB123" s="11">
        <f t="shared" si="40"/>
        <v>11720</v>
      </c>
    </row>
    <row r="124">
      <c r="A124" s="18"/>
      <c r="B124" s="15"/>
      <c r="C124" s="11">
        <f t="shared" si="35"/>
        <v>62500</v>
      </c>
      <c r="D124" s="47">
        <f t="shared" si="36"/>
        <v>125000</v>
      </c>
      <c r="E124" s="11"/>
      <c r="F124" s="11"/>
      <c r="G124" s="11"/>
      <c r="H124" s="11"/>
      <c r="I124" s="11"/>
      <c r="J124" s="11"/>
      <c r="K124" s="11"/>
      <c r="L124" s="67">
        <v>45890.0</v>
      </c>
      <c r="M124" s="68">
        <v>12.0</v>
      </c>
      <c r="N124" s="68">
        <f t="shared" si="37"/>
        <v>2</v>
      </c>
      <c r="O124" s="69" t="s">
        <v>90</v>
      </c>
      <c r="P124" s="7"/>
      <c r="Q124" s="70">
        <v>750000.0</v>
      </c>
      <c r="R124" s="70">
        <v>73525.0</v>
      </c>
      <c r="S124" s="71">
        <v>312500.0</v>
      </c>
      <c r="U124" s="11">
        <f t="shared" ref="U124:AB124" si="41">IF(AND(U$119 &gt; $L124, (YEAR(U$119)*12 + MONTH(U$119)) - (YEAR($L124)*12 + MONTH($L124)) &lt;= $M124), $R124, 0)</f>
        <v>73525</v>
      </c>
      <c r="V124" s="11">
        <f t="shared" si="41"/>
        <v>73525</v>
      </c>
      <c r="W124" s="11">
        <f t="shared" si="41"/>
        <v>73525</v>
      </c>
      <c r="X124" s="11">
        <f t="shared" si="41"/>
        <v>73525</v>
      </c>
      <c r="Y124" s="11">
        <f t="shared" si="41"/>
        <v>73525</v>
      </c>
      <c r="Z124" s="11">
        <f t="shared" si="41"/>
        <v>73525</v>
      </c>
      <c r="AA124" s="11">
        <f t="shared" si="41"/>
        <v>73525</v>
      </c>
      <c r="AB124" s="11">
        <f t="shared" si="41"/>
        <v>0</v>
      </c>
    </row>
    <row r="125">
      <c r="A125" s="18"/>
      <c r="B125" s="15"/>
      <c r="C125" s="11">
        <f t="shared" si="35"/>
        <v>6666.666667</v>
      </c>
      <c r="D125" s="47">
        <f t="shared" si="36"/>
        <v>13333.33333</v>
      </c>
      <c r="E125" s="11"/>
      <c r="F125" s="11"/>
      <c r="G125" s="11"/>
      <c r="H125" s="11"/>
      <c r="I125" s="11"/>
      <c r="J125" s="11"/>
      <c r="K125" s="11"/>
      <c r="L125" s="67">
        <v>45890.0</v>
      </c>
      <c r="M125" s="68">
        <v>12.0</v>
      </c>
      <c r="N125" s="68">
        <f t="shared" si="37"/>
        <v>2</v>
      </c>
      <c r="O125" s="69" t="s">
        <v>90</v>
      </c>
      <c r="P125" s="7"/>
      <c r="Q125" s="70">
        <v>80000.0</v>
      </c>
      <c r="R125" s="70">
        <v>7842.0</v>
      </c>
      <c r="S125" s="71">
        <v>33335.0</v>
      </c>
      <c r="U125" s="11">
        <f t="shared" ref="U125:AB125" si="42">IF(AND(U$119 &gt; $L125, (YEAR(U$119)*12 + MONTH(U$119)) - (YEAR($L125)*12 + MONTH($L125)) &lt;= $M125), $R125, 0)</f>
        <v>7842</v>
      </c>
      <c r="V125" s="11">
        <f t="shared" si="42"/>
        <v>7842</v>
      </c>
      <c r="W125" s="11">
        <f t="shared" si="42"/>
        <v>7842</v>
      </c>
      <c r="X125" s="11">
        <f t="shared" si="42"/>
        <v>7842</v>
      </c>
      <c r="Y125" s="11">
        <f t="shared" si="42"/>
        <v>7842</v>
      </c>
      <c r="Z125" s="11">
        <f t="shared" si="42"/>
        <v>7842</v>
      </c>
      <c r="AA125" s="11">
        <f t="shared" si="42"/>
        <v>7842</v>
      </c>
      <c r="AB125" s="11">
        <f t="shared" si="42"/>
        <v>0</v>
      </c>
    </row>
    <row r="126">
      <c r="A126" s="18"/>
      <c r="B126" s="15"/>
      <c r="C126" s="11">
        <f t="shared" si="35"/>
        <v>47491.66667</v>
      </c>
      <c r="D126" s="47">
        <f t="shared" si="36"/>
        <v>142475</v>
      </c>
      <c r="E126" s="11"/>
      <c r="F126" s="11"/>
      <c r="G126" s="11"/>
      <c r="H126" s="11"/>
      <c r="I126" s="11"/>
      <c r="J126" s="11"/>
      <c r="K126" s="11"/>
      <c r="L126" s="67">
        <v>45908.0</v>
      </c>
      <c r="M126" s="68">
        <v>12.0</v>
      </c>
      <c r="N126" s="68">
        <f t="shared" si="37"/>
        <v>3</v>
      </c>
      <c r="O126" s="69" t="s">
        <v>91</v>
      </c>
      <c r="P126" s="7"/>
      <c r="Q126" s="70">
        <v>569900.0</v>
      </c>
      <c r="R126" s="70">
        <v>47491.0</v>
      </c>
      <c r="S126" s="71">
        <v>332443.0</v>
      </c>
      <c r="U126" s="11">
        <f t="shared" ref="U126:AB126" si="43">IF(AND(U$119 &gt; $L126, (YEAR(U$119)*12 + MONTH(U$119)) - (YEAR($L126)*12 + MONTH($L126)) &lt;= $M126), $R126, 0)</f>
        <v>47491</v>
      </c>
      <c r="V126" s="11">
        <f t="shared" si="43"/>
        <v>47491</v>
      </c>
      <c r="W126" s="11">
        <f t="shared" si="43"/>
        <v>47491</v>
      </c>
      <c r="X126" s="11">
        <f t="shared" si="43"/>
        <v>47491</v>
      </c>
      <c r="Y126" s="11">
        <f t="shared" si="43"/>
        <v>47491</v>
      </c>
      <c r="Z126" s="11">
        <f t="shared" si="43"/>
        <v>47491</v>
      </c>
      <c r="AA126" s="11">
        <f t="shared" si="43"/>
        <v>47491</v>
      </c>
      <c r="AB126" s="11">
        <f t="shared" si="43"/>
        <v>47491</v>
      </c>
    </row>
    <row r="127">
      <c r="A127" s="18"/>
      <c r="B127" s="15"/>
      <c r="C127" s="11">
        <f t="shared" si="35"/>
        <v>7234.5</v>
      </c>
      <c r="D127" s="47">
        <f t="shared" si="36"/>
        <v>28938</v>
      </c>
      <c r="E127" s="11"/>
      <c r="F127" s="11"/>
      <c r="G127" s="11"/>
      <c r="H127" s="11"/>
      <c r="I127" s="11"/>
      <c r="J127" s="11"/>
      <c r="K127" s="11"/>
      <c r="L127" s="67">
        <v>45938.0</v>
      </c>
      <c r="M127" s="68">
        <v>12.0</v>
      </c>
      <c r="N127" s="68">
        <f t="shared" si="37"/>
        <v>4</v>
      </c>
      <c r="O127" s="69" t="s">
        <v>92</v>
      </c>
      <c r="P127" s="7"/>
      <c r="Q127" s="70">
        <v>86814.0</v>
      </c>
      <c r="R127" s="70">
        <v>8756.0</v>
      </c>
      <c r="S127" s="71">
        <v>50643.0</v>
      </c>
      <c r="U127" s="11">
        <f t="shared" ref="U127:AB127" si="44">IF(AND(U$119 &gt; $L127, (YEAR(U$119)*12 + MONTH(U$119)) - (YEAR($L127)*12 + MONTH($L127)) &lt;= $M127), $R127, 0)</f>
        <v>8756</v>
      </c>
      <c r="V127" s="11">
        <f t="shared" si="44"/>
        <v>8756</v>
      </c>
      <c r="W127" s="11">
        <f t="shared" si="44"/>
        <v>8756</v>
      </c>
      <c r="X127" s="11">
        <f t="shared" si="44"/>
        <v>8756</v>
      </c>
      <c r="Y127" s="11">
        <f t="shared" si="44"/>
        <v>8756</v>
      </c>
      <c r="Z127" s="11">
        <f t="shared" si="44"/>
        <v>8756</v>
      </c>
      <c r="AA127" s="11">
        <f t="shared" si="44"/>
        <v>8756</v>
      </c>
      <c r="AB127" s="11">
        <f t="shared" si="44"/>
        <v>8756</v>
      </c>
    </row>
    <row r="128">
      <c r="A128" s="18"/>
      <c r="B128" s="15"/>
      <c r="C128" s="11">
        <f t="shared" si="35"/>
        <v>158877.7778</v>
      </c>
      <c r="D128" s="47">
        <f t="shared" si="36"/>
        <v>317755.5556</v>
      </c>
      <c r="E128" s="11"/>
      <c r="F128" s="11"/>
      <c r="G128" s="11"/>
      <c r="H128" s="11"/>
      <c r="I128" s="11"/>
      <c r="J128" s="11"/>
      <c r="K128" s="11"/>
      <c r="L128" s="67">
        <v>45989.0</v>
      </c>
      <c r="M128" s="68">
        <v>9.0</v>
      </c>
      <c r="N128" s="68">
        <f t="shared" si="37"/>
        <v>2</v>
      </c>
      <c r="O128" s="69" t="s">
        <v>93</v>
      </c>
      <c r="P128" s="7"/>
      <c r="Q128" s="72">
        <v>1429900.0</v>
      </c>
      <c r="R128" s="70">
        <v>158878.0</v>
      </c>
      <c r="S128" s="70">
        <f>Q128-R128*4</f>
        <v>794388</v>
      </c>
      <c r="U128" s="11">
        <f t="shared" ref="U128:AB128" si="45">IF(AND(U$119 &gt; $L128, (YEAR(U$119)*12 + MONTH(U$119)) - (YEAR($L128)*12 + MONTH($L128)) &lt;= $M128), $R128, 0)</f>
        <v>158878</v>
      </c>
      <c r="V128" s="11">
        <f t="shared" si="45"/>
        <v>158878</v>
      </c>
      <c r="W128" s="11">
        <f t="shared" si="45"/>
        <v>158878</v>
      </c>
      <c r="X128" s="11">
        <f t="shared" si="45"/>
        <v>158878</v>
      </c>
      <c r="Y128" s="11">
        <f t="shared" si="45"/>
        <v>158878</v>
      </c>
      <c r="Z128" s="11">
        <f t="shared" si="45"/>
        <v>158878</v>
      </c>
      <c r="AA128" s="11">
        <f t="shared" si="45"/>
        <v>158878</v>
      </c>
      <c r="AB128" s="11">
        <f t="shared" si="45"/>
        <v>0</v>
      </c>
    </row>
    <row r="129">
      <c r="A129" s="18"/>
      <c r="B129" s="15"/>
      <c r="C129" s="11">
        <f t="shared" si="35"/>
        <v>60000</v>
      </c>
      <c r="D129" s="47">
        <f t="shared" si="36"/>
        <v>0</v>
      </c>
      <c r="E129" s="11"/>
      <c r="F129" s="11"/>
      <c r="G129" s="11"/>
      <c r="H129" s="11"/>
      <c r="I129" s="11"/>
      <c r="J129" s="11"/>
      <c r="K129" s="11"/>
      <c r="L129" s="67">
        <v>46039.0</v>
      </c>
      <c r="M129" s="68">
        <v>1.0</v>
      </c>
      <c r="N129" s="68">
        <f t="shared" si="37"/>
        <v>0</v>
      </c>
      <c r="O129" s="69" t="s">
        <v>90</v>
      </c>
      <c r="P129" s="7"/>
      <c r="Q129" s="70">
        <v>60000.0</v>
      </c>
      <c r="R129" s="70">
        <v>60000.0</v>
      </c>
      <c r="S129" s="72">
        <v>0.0</v>
      </c>
      <c r="U129" s="11">
        <f t="shared" ref="U129:AB129" si="46">IF(AND(U$119 &gt; $L129, (YEAR(U$119)*12 + MONTH(U$119)) - (YEAR($L129)*12 + MONTH($L129)) &lt;= $M129), $R129, 0)</f>
        <v>60000</v>
      </c>
      <c r="V129" s="11">
        <f t="shared" si="46"/>
        <v>0</v>
      </c>
      <c r="W129" s="11">
        <f t="shared" si="46"/>
        <v>0</v>
      </c>
      <c r="X129" s="11">
        <f t="shared" si="46"/>
        <v>0</v>
      </c>
      <c r="Y129" s="11">
        <f t="shared" si="46"/>
        <v>0</v>
      </c>
      <c r="Z129" s="11">
        <f t="shared" si="46"/>
        <v>0</v>
      </c>
      <c r="AA129" s="11">
        <f t="shared" si="46"/>
        <v>0</v>
      </c>
      <c r="AB129" s="11">
        <f t="shared" si="46"/>
        <v>0</v>
      </c>
    </row>
    <row r="130">
      <c r="A130" s="18"/>
      <c r="B130" s="15"/>
      <c r="C130" s="11">
        <f t="shared" si="35"/>
        <v>16802.66667</v>
      </c>
      <c r="D130" s="47">
        <f t="shared" si="36"/>
        <v>16802.66667</v>
      </c>
      <c r="E130" s="11"/>
      <c r="F130" s="11"/>
      <c r="G130" s="11"/>
      <c r="H130" s="11"/>
      <c r="I130" s="11"/>
      <c r="J130" s="11"/>
      <c r="K130" s="11"/>
      <c r="L130" s="67">
        <v>46039.0</v>
      </c>
      <c r="M130" s="68">
        <v>6.0</v>
      </c>
      <c r="N130" s="68">
        <f t="shared" si="37"/>
        <v>1</v>
      </c>
      <c r="O130" s="69" t="s">
        <v>94</v>
      </c>
      <c r="P130" s="7"/>
      <c r="Q130" s="70">
        <v>100816.0</v>
      </c>
      <c r="R130" s="70">
        <v>18216.0</v>
      </c>
      <c r="S130" s="71">
        <v>67211.0</v>
      </c>
      <c r="U130" s="11">
        <f t="shared" ref="U130:AB130" si="47">IF(AND(U$119 &gt; $L130, (YEAR(U$119)*12 + MONTH(U$119)) - (YEAR($L130)*12 + MONTH($L130)) &lt;= $M130), $R130, 0)</f>
        <v>18216</v>
      </c>
      <c r="V130" s="11">
        <f t="shared" si="47"/>
        <v>18216</v>
      </c>
      <c r="W130" s="11">
        <f t="shared" si="47"/>
        <v>18216</v>
      </c>
      <c r="X130" s="11">
        <f t="shared" si="47"/>
        <v>18216</v>
      </c>
      <c r="Y130" s="11">
        <f t="shared" si="47"/>
        <v>18216</v>
      </c>
      <c r="Z130" s="11">
        <f t="shared" si="47"/>
        <v>18216</v>
      </c>
      <c r="AA130" s="11">
        <f t="shared" si="47"/>
        <v>0</v>
      </c>
      <c r="AB130" s="11">
        <f t="shared" si="47"/>
        <v>0</v>
      </c>
    </row>
    <row r="131">
      <c r="A131" s="18"/>
      <c r="B131" s="15"/>
      <c r="C131" s="11">
        <f t="shared" si="35"/>
        <v>8304.291667</v>
      </c>
      <c r="D131" s="47">
        <f t="shared" si="36"/>
        <v>157781.5417</v>
      </c>
      <c r="E131" s="11"/>
      <c r="F131" s="11"/>
      <c r="G131" s="11"/>
      <c r="H131" s="11"/>
      <c r="I131" s="11"/>
      <c r="J131" s="11"/>
      <c r="K131" s="11"/>
      <c r="L131" s="67">
        <v>46045.0</v>
      </c>
      <c r="M131" s="68">
        <v>24.0</v>
      </c>
      <c r="N131" s="68">
        <f t="shared" si="37"/>
        <v>19</v>
      </c>
      <c r="O131" s="69" t="s">
        <v>94</v>
      </c>
      <c r="P131" s="7"/>
      <c r="Q131" s="70">
        <v>199303.0</v>
      </c>
      <c r="R131" s="70">
        <v>10371.0</v>
      </c>
      <c r="S131" s="71">
        <v>182695.0</v>
      </c>
      <c r="U131" s="11">
        <f t="shared" ref="U131:AB131" si="48">IF(AND(U$119 &gt; $L131, (YEAR(U$119)*12 + MONTH(U$119)) - (YEAR($L131)*12 + MONTH($L131)) &lt;= $M131), $R131, 0)</f>
        <v>10371</v>
      </c>
      <c r="V131" s="11">
        <f t="shared" si="48"/>
        <v>10371</v>
      </c>
      <c r="W131" s="11">
        <f t="shared" si="48"/>
        <v>10371</v>
      </c>
      <c r="X131" s="11">
        <f t="shared" si="48"/>
        <v>10371</v>
      </c>
      <c r="Y131" s="11">
        <f t="shared" si="48"/>
        <v>10371</v>
      </c>
      <c r="Z131" s="11">
        <f t="shared" si="48"/>
        <v>10371</v>
      </c>
      <c r="AA131" s="11">
        <f t="shared" si="48"/>
        <v>10371</v>
      </c>
      <c r="AB131" s="11">
        <f t="shared" si="48"/>
        <v>10371</v>
      </c>
    </row>
    <row r="132">
      <c r="A132" s="18"/>
      <c r="B132" s="15"/>
      <c r="C132" s="11">
        <f t="shared" si="35"/>
        <v>187315</v>
      </c>
      <c r="D132" s="47">
        <f t="shared" si="36"/>
        <v>0</v>
      </c>
      <c r="E132" s="11"/>
      <c r="F132" s="11"/>
      <c r="G132" s="11"/>
      <c r="H132" s="11"/>
      <c r="I132" s="11"/>
      <c r="J132" s="11"/>
      <c r="K132" s="11"/>
      <c r="L132" s="67">
        <v>45989.0</v>
      </c>
      <c r="M132" s="68">
        <v>4.0</v>
      </c>
      <c r="N132" s="68">
        <f t="shared" si="37"/>
        <v>0</v>
      </c>
      <c r="O132" s="69" t="s">
        <v>95</v>
      </c>
      <c r="P132" s="7"/>
      <c r="Q132" s="70">
        <f>187315*4</f>
        <v>749260</v>
      </c>
      <c r="R132" s="70">
        <v>187315.0</v>
      </c>
      <c r="S132" s="71">
        <v>0.0</v>
      </c>
      <c r="U132" s="11">
        <f t="shared" ref="U132:AB132" si="49">IF(AND(U$119 &gt; $L132, (YEAR(U$119)*12 + MONTH(U$119)) - (YEAR($L132)*12 + MONTH($L132)) &lt;= $M132), $R132, 0)</f>
        <v>187315</v>
      </c>
      <c r="V132" s="11">
        <f t="shared" si="49"/>
        <v>187315</v>
      </c>
      <c r="W132" s="11">
        <f t="shared" si="49"/>
        <v>0</v>
      </c>
      <c r="X132" s="11">
        <f t="shared" si="49"/>
        <v>0</v>
      </c>
      <c r="Y132" s="11">
        <f t="shared" si="49"/>
        <v>0</v>
      </c>
      <c r="Z132" s="11">
        <f t="shared" si="49"/>
        <v>0</v>
      </c>
      <c r="AA132" s="11">
        <f t="shared" si="49"/>
        <v>0</v>
      </c>
      <c r="AB132" s="11">
        <f t="shared" si="49"/>
        <v>0</v>
      </c>
    </row>
    <row r="133">
      <c r="A133" s="18"/>
      <c r="B133" s="15"/>
      <c r="C133" s="15"/>
      <c r="D133" s="15"/>
      <c r="E133" s="11"/>
      <c r="F133" s="11"/>
      <c r="G133" s="11"/>
      <c r="H133" s="11"/>
      <c r="I133" s="11"/>
      <c r="J133" s="11"/>
      <c r="K133" s="11"/>
      <c r="L133" s="67">
        <v>46073.0</v>
      </c>
      <c r="M133" s="68">
        <v>6.0</v>
      </c>
      <c r="N133" s="68">
        <f t="shared" si="37"/>
        <v>2</v>
      </c>
      <c r="O133" s="69" t="s">
        <v>96</v>
      </c>
      <c r="P133" s="7"/>
      <c r="Q133" s="70">
        <v>290000.0</v>
      </c>
      <c r="R133" s="70">
        <v>51000.0</v>
      </c>
      <c r="S133" s="71">
        <v>241666.0</v>
      </c>
      <c r="V133" s="11">
        <f t="shared" ref="V133:AB133" si="50">IF(AND(V$119 &gt; $L133, (YEAR(V$119)*12 + MONTH(V$119)) - (YEAR($L133)*12 + MONTH($L133)) &lt;= $M133), $R133, 0)</f>
        <v>51000</v>
      </c>
      <c r="W133" s="11">
        <f t="shared" si="50"/>
        <v>51000</v>
      </c>
      <c r="X133" s="11">
        <f t="shared" si="50"/>
        <v>51000</v>
      </c>
      <c r="Y133" s="11">
        <f t="shared" si="50"/>
        <v>51000</v>
      </c>
      <c r="Z133" s="11">
        <f t="shared" si="50"/>
        <v>51000</v>
      </c>
      <c r="AA133" s="11">
        <f t="shared" si="50"/>
        <v>51000</v>
      </c>
      <c r="AB133" s="11">
        <f t="shared" si="50"/>
        <v>0</v>
      </c>
    </row>
    <row r="134">
      <c r="A134" s="18"/>
      <c r="B134" s="15"/>
      <c r="C134" s="15"/>
      <c r="D134" s="15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>
        <f>SUM(S120:S133)</f>
        <v>2179340</v>
      </c>
      <c r="U134" s="73">
        <f>SUM(U120:U132)</f>
        <v>702604</v>
      </c>
      <c r="V134" s="73">
        <f t="shared" ref="V134:AB134" si="51">SUM(V120:V133)</f>
        <v>693604</v>
      </c>
      <c r="W134" s="11">
        <f t="shared" si="51"/>
        <v>427477</v>
      </c>
      <c r="X134" s="11">
        <f t="shared" si="51"/>
        <v>387799</v>
      </c>
      <c r="Y134" s="11">
        <f t="shared" si="51"/>
        <v>387799</v>
      </c>
      <c r="Z134" s="11">
        <f t="shared" si="51"/>
        <v>387799</v>
      </c>
      <c r="AA134" s="11">
        <f t="shared" si="51"/>
        <v>369583</v>
      </c>
      <c r="AB134" s="11">
        <f t="shared" si="51"/>
        <v>78338</v>
      </c>
    </row>
    <row r="135">
      <c r="A135" s="18"/>
      <c r="B135" s="15"/>
      <c r="C135" s="15"/>
      <c r="D135" s="15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>
        <f t="shared" ref="U135:V135" si="52">MAX(0, $S$118 - SUM(U120:U132))</f>
        <v>0</v>
      </c>
      <c r="V135" s="11">
        <f t="shared" si="52"/>
        <v>0</v>
      </c>
      <c r="W135" s="11">
        <f t="shared" ref="W135:AB135" si="53">MAX(0, $S$118 - SUM(W120:W133))</f>
        <v>172523</v>
      </c>
      <c r="X135" s="11">
        <f t="shared" si="53"/>
        <v>212201</v>
      </c>
      <c r="Y135" s="11">
        <f t="shared" si="53"/>
        <v>212201</v>
      </c>
      <c r="Z135" s="11">
        <f t="shared" si="53"/>
        <v>212201</v>
      </c>
      <c r="AA135" s="11">
        <f t="shared" si="53"/>
        <v>230417</v>
      </c>
      <c r="AB135" s="11">
        <f t="shared" si="53"/>
        <v>521662</v>
      </c>
    </row>
    <row r="136">
      <c r="A136" s="18"/>
      <c r="B136" s="15"/>
      <c r="C136" s="15"/>
      <c r="D136" s="1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8"/>
      <c r="B137" s="15"/>
      <c r="C137" s="15"/>
      <c r="D137" s="15"/>
      <c r="E137" s="11"/>
      <c r="F137" s="11"/>
      <c r="G137" s="11"/>
      <c r="H137" s="11"/>
      <c r="I137" s="11"/>
      <c r="J137" s="11"/>
      <c r="K137" s="11"/>
      <c r="L137" s="9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8"/>
      <c r="B138" s="15"/>
      <c r="C138" s="15"/>
      <c r="D138" s="15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8"/>
      <c r="B139" s="15"/>
      <c r="C139" s="15"/>
      <c r="D139" s="15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8"/>
      <c r="B140" s="15"/>
      <c r="C140" s="15"/>
      <c r="D140" s="15"/>
      <c r="E140" s="11"/>
      <c r="F140" s="11"/>
      <c r="G140" s="11"/>
      <c r="H140" s="11"/>
      <c r="I140" s="11"/>
      <c r="J140" s="11"/>
      <c r="K140" s="11"/>
      <c r="L140" s="74"/>
      <c r="M140" s="74"/>
      <c r="N140" s="74"/>
      <c r="O140" s="74"/>
      <c r="P140" s="74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8"/>
      <c r="B141" s="15"/>
      <c r="C141" s="15"/>
      <c r="D141" s="15"/>
      <c r="E141" s="11"/>
      <c r="F141" s="11"/>
      <c r="G141" s="11"/>
      <c r="H141" s="11"/>
      <c r="I141" s="11"/>
      <c r="J141" s="11"/>
      <c r="K141" s="11"/>
      <c r="L141" s="75"/>
      <c r="M141" s="76"/>
      <c r="N141" s="77"/>
      <c r="O141" s="76"/>
      <c r="P141" s="76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8"/>
      <c r="B142" s="15"/>
      <c r="C142" s="15"/>
      <c r="D142" s="15"/>
      <c r="E142" s="11"/>
      <c r="F142" s="11"/>
      <c r="G142" s="11"/>
      <c r="H142" s="11"/>
      <c r="I142" s="11"/>
      <c r="J142" s="11"/>
      <c r="K142" s="11"/>
      <c r="L142" s="75"/>
      <c r="M142" s="76"/>
      <c r="N142" s="76"/>
      <c r="O142" s="76"/>
      <c r="P142" s="76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8"/>
      <c r="B143" s="15"/>
      <c r="C143" s="15"/>
      <c r="D143" s="15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8"/>
      <c r="B144" s="15"/>
      <c r="C144" s="15"/>
      <c r="D144" s="1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8"/>
      <c r="B145" s="15"/>
      <c r="C145" s="15"/>
      <c r="D145" s="15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8"/>
      <c r="B146" s="15"/>
      <c r="C146" s="15"/>
      <c r="D146" s="15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8"/>
      <c r="B147" s="15"/>
      <c r="C147" s="15"/>
      <c r="D147" s="15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8"/>
      <c r="B148" s="15"/>
      <c r="C148" s="15"/>
      <c r="D148" s="1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8"/>
      <c r="B149" s="15"/>
      <c r="C149" s="15"/>
      <c r="D149" s="15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8"/>
      <c r="B150" s="15"/>
      <c r="C150" s="15"/>
      <c r="D150" s="15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8"/>
      <c r="B151" s="15"/>
      <c r="C151" s="15"/>
      <c r="D151" s="15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8"/>
      <c r="B152" s="15"/>
      <c r="C152" s="15"/>
      <c r="D152" s="1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8"/>
      <c r="B153" s="15"/>
      <c r="C153" s="15"/>
      <c r="D153" s="15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8"/>
      <c r="B154" s="15"/>
      <c r="C154" s="15"/>
      <c r="D154" s="15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8"/>
      <c r="B155" s="15"/>
      <c r="C155" s="15"/>
      <c r="D155" s="1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8"/>
      <c r="B156" s="15"/>
      <c r="C156" s="15"/>
      <c r="D156" s="1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8"/>
      <c r="B157" s="15"/>
      <c r="C157" s="15"/>
      <c r="D157" s="15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8"/>
      <c r="B158" s="15"/>
      <c r="C158" s="15"/>
      <c r="D158" s="15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8"/>
      <c r="B159" s="15"/>
      <c r="C159" s="15"/>
      <c r="D159" s="15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8"/>
      <c r="B160" s="15"/>
      <c r="C160" s="15"/>
      <c r="D160" s="1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8"/>
      <c r="B161" s="15"/>
      <c r="C161" s="15"/>
      <c r="D161" s="15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8"/>
      <c r="B162" s="15"/>
      <c r="C162" s="15"/>
      <c r="D162" s="15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8"/>
      <c r="B163" s="15"/>
      <c r="C163" s="15"/>
      <c r="D163" s="15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8"/>
      <c r="B164" s="15"/>
      <c r="C164" s="15"/>
      <c r="D164" s="1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8"/>
      <c r="B165" s="15"/>
      <c r="C165" s="15"/>
      <c r="D165" s="1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8"/>
      <c r="B166" s="15"/>
      <c r="C166" s="15"/>
      <c r="D166" s="1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8"/>
      <c r="B167" s="15"/>
      <c r="C167" s="15"/>
      <c r="D167" s="1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8"/>
      <c r="B168" s="15"/>
      <c r="C168" s="15"/>
      <c r="D168" s="1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8"/>
      <c r="B169" s="15"/>
      <c r="C169" s="15"/>
      <c r="D169" s="1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8"/>
      <c r="B170" s="15"/>
      <c r="C170" s="15"/>
      <c r="D170" s="1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8"/>
      <c r="B171" s="15"/>
      <c r="C171" s="15"/>
      <c r="D171" s="1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8"/>
      <c r="B172" s="15"/>
      <c r="C172" s="15"/>
      <c r="D172" s="1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8"/>
      <c r="B173" s="15"/>
      <c r="C173" s="15"/>
      <c r="D173" s="1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8"/>
      <c r="B174" s="15"/>
      <c r="C174" s="15"/>
      <c r="D174" s="1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8"/>
      <c r="B175" s="15"/>
      <c r="C175" s="15"/>
      <c r="D175" s="1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8"/>
      <c r="B176" s="15"/>
      <c r="C176" s="15"/>
      <c r="D176" s="1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8"/>
      <c r="B177" s="15"/>
      <c r="C177" s="15"/>
      <c r="D177" s="15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8"/>
      <c r="B178" s="15"/>
      <c r="C178" s="15"/>
      <c r="D178" s="15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8"/>
      <c r="B179" s="15"/>
      <c r="C179" s="15"/>
      <c r="D179" s="15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8"/>
      <c r="B180" s="15"/>
      <c r="C180" s="15"/>
      <c r="D180" s="1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8"/>
      <c r="B181" s="15"/>
      <c r="C181" s="15"/>
      <c r="D181" s="15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8"/>
      <c r="B182" s="15"/>
      <c r="C182" s="15"/>
      <c r="D182" s="15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8"/>
      <c r="B183" s="15"/>
      <c r="C183" s="15"/>
      <c r="D183" s="15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8"/>
      <c r="B184" s="15"/>
      <c r="C184" s="15"/>
      <c r="D184" s="1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8"/>
      <c r="B185" s="15"/>
      <c r="C185" s="15"/>
      <c r="D185" s="15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8"/>
      <c r="B186" s="15"/>
      <c r="C186" s="15"/>
      <c r="D186" s="15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8"/>
      <c r="B187" s="15"/>
      <c r="C187" s="15"/>
      <c r="D187" s="15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8"/>
      <c r="B188" s="15"/>
      <c r="C188" s="15"/>
      <c r="D188" s="1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8"/>
      <c r="B189" s="15"/>
      <c r="C189" s="15"/>
      <c r="D189" s="15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8"/>
      <c r="B190" s="15"/>
      <c r="C190" s="15"/>
      <c r="D190" s="15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8"/>
      <c r="B191" s="15"/>
      <c r="C191" s="15"/>
      <c r="D191" s="15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8"/>
      <c r="B192" s="15"/>
      <c r="C192" s="15"/>
      <c r="D192" s="1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8"/>
      <c r="B193" s="15"/>
      <c r="C193" s="15"/>
      <c r="D193" s="15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8"/>
      <c r="B194" s="15"/>
      <c r="C194" s="15"/>
      <c r="D194" s="15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8"/>
      <c r="B195" s="15"/>
      <c r="C195" s="15"/>
      <c r="D195" s="15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8"/>
      <c r="B196" s="15"/>
      <c r="C196" s="15"/>
      <c r="D196" s="1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8"/>
      <c r="B197" s="15"/>
      <c r="C197" s="15"/>
      <c r="D197" s="15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8"/>
      <c r="B198" s="15"/>
      <c r="C198" s="15"/>
      <c r="D198" s="15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8"/>
      <c r="B199" s="15"/>
      <c r="C199" s="15"/>
      <c r="D199" s="15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8"/>
      <c r="B200" s="15"/>
      <c r="C200" s="15"/>
      <c r="D200" s="1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8"/>
      <c r="B201" s="15"/>
      <c r="C201" s="15"/>
      <c r="D201" s="15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8"/>
      <c r="B202" s="15"/>
      <c r="C202" s="15"/>
      <c r="D202" s="15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8"/>
      <c r="B203" s="15"/>
      <c r="C203" s="15"/>
      <c r="D203" s="15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8"/>
      <c r="B204" s="15"/>
      <c r="C204" s="15"/>
      <c r="D204" s="1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8"/>
      <c r="B205" s="15"/>
      <c r="C205" s="15"/>
      <c r="D205" s="15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8"/>
      <c r="B206" s="15"/>
      <c r="C206" s="15"/>
      <c r="D206" s="15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8"/>
      <c r="B207" s="15"/>
      <c r="C207" s="15"/>
      <c r="D207" s="15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8"/>
      <c r="B208" s="15"/>
      <c r="C208" s="15"/>
      <c r="D208" s="1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8"/>
      <c r="B209" s="15"/>
      <c r="C209" s="15"/>
      <c r="D209" s="15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8"/>
      <c r="B210" s="15"/>
      <c r="C210" s="15"/>
      <c r="D210" s="15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8"/>
      <c r="B211" s="15"/>
      <c r="C211" s="15"/>
      <c r="D211" s="15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8"/>
      <c r="B212" s="15"/>
      <c r="C212" s="15"/>
      <c r="D212" s="1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8"/>
      <c r="B213" s="15"/>
      <c r="C213" s="15"/>
      <c r="D213" s="15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8"/>
      <c r="B214" s="15"/>
      <c r="C214" s="15"/>
      <c r="D214" s="15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8"/>
      <c r="B215" s="15"/>
      <c r="C215" s="15"/>
      <c r="D215" s="15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8"/>
      <c r="B216" s="15"/>
      <c r="C216" s="15"/>
      <c r="D216" s="1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8"/>
      <c r="B217" s="15"/>
      <c r="C217" s="15"/>
      <c r="D217" s="15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8"/>
      <c r="B218" s="15"/>
      <c r="C218" s="15"/>
      <c r="D218" s="15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8"/>
      <c r="B219" s="15"/>
      <c r="C219" s="15"/>
      <c r="D219" s="15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8"/>
      <c r="B220" s="15"/>
      <c r="C220" s="15"/>
      <c r="D220" s="1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8"/>
      <c r="B221" s="15"/>
      <c r="C221" s="15"/>
      <c r="D221" s="15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8"/>
      <c r="B222" s="15"/>
      <c r="C222" s="15"/>
      <c r="D222" s="15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8"/>
      <c r="B223" s="15"/>
      <c r="C223" s="15"/>
      <c r="D223" s="15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8"/>
      <c r="B224" s="15"/>
      <c r="C224" s="15"/>
      <c r="D224" s="1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8"/>
      <c r="B225" s="15"/>
      <c r="C225" s="15"/>
      <c r="D225" s="1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8"/>
      <c r="B226" s="15"/>
      <c r="C226" s="15"/>
      <c r="D226" s="1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8"/>
      <c r="B227" s="15"/>
      <c r="C227" s="15"/>
      <c r="D227" s="15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8"/>
      <c r="B228" s="15"/>
      <c r="C228" s="15"/>
      <c r="D228" s="1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8"/>
      <c r="B229" s="15"/>
      <c r="C229" s="15"/>
      <c r="D229" s="15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8"/>
      <c r="B230" s="15"/>
      <c r="C230" s="15"/>
      <c r="D230" s="15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8"/>
      <c r="B231" s="15"/>
      <c r="C231" s="15"/>
      <c r="D231" s="15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8"/>
      <c r="B232" s="15"/>
      <c r="C232" s="15"/>
      <c r="D232" s="1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8"/>
      <c r="B233" s="15"/>
      <c r="C233" s="15"/>
      <c r="D233" s="15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8"/>
      <c r="B234" s="15"/>
      <c r="C234" s="15"/>
      <c r="D234" s="15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8"/>
      <c r="B235" s="15"/>
      <c r="C235" s="15"/>
      <c r="D235" s="15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8"/>
      <c r="B236" s="15"/>
      <c r="C236" s="15"/>
      <c r="D236" s="15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8"/>
      <c r="B237" s="15"/>
      <c r="C237" s="15"/>
      <c r="D237" s="15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8"/>
      <c r="B238" s="15"/>
      <c r="C238" s="15"/>
      <c r="D238" s="15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8"/>
      <c r="B239" s="15"/>
      <c r="C239" s="15"/>
      <c r="D239" s="15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8"/>
      <c r="B240" s="15"/>
      <c r="C240" s="15"/>
      <c r="D240" s="1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8"/>
      <c r="B241" s="15"/>
      <c r="C241" s="15"/>
      <c r="D241" s="1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8"/>
      <c r="B242" s="15"/>
      <c r="C242" s="15"/>
      <c r="D242" s="1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8"/>
      <c r="B243" s="15"/>
      <c r="C243" s="15"/>
      <c r="D243" s="1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8"/>
      <c r="B244" s="15"/>
      <c r="C244" s="15"/>
      <c r="D244" s="1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8"/>
      <c r="B245" s="15"/>
      <c r="C245" s="15"/>
      <c r="D245" s="1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8"/>
      <c r="B246" s="15"/>
      <c r="C246" s="15"/>
      <c r="D246" s="1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8"/>
      <c r="B247" s="15"/>
      <c r="C247" s="15"/>
      <c r="D247" s="1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8"/>
      <c r="B248" s="15"/>
      <c r="C248" s="15"/>
      <c r="D248" s="1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8"/>
      <c r="B249" s="15"/>
      <c r="C249" s="15"/>
      <c r="D249" s="1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8"/>
      <c r="B250" s="15"/>
      <c r="C250" s="15"/>
      <c r="D250" s="1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8"/>
      <c r="B251" s="15"/>
      <c r="C251" s="15"/>
      <c r="D251" s="1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8"/>
      <c r="B252" s="15"/>
      <c r="C252" s="15"/>
      <c r="D252" s="1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8"/>
      <c r="B253" s="15"/>
      <c r="C253" s="15"/>
      <c r="D253" s="1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8"/>
      <c r="B254" s="15"/>
      <c r="C254" s="15"/>
      <c r="D254" s="1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8"/>
      <c r="B255" s="15"/>
      <c r="C255" s="15"/>
      <c r="D255" s="1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8"/>
      <c r="B256" s="15"/>
      <c r="C256" s="15"/>
      <c r="D256" s="1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8"/>
      <c r="B257" s="15"/>
      <c r="C257" s="15"/>
      <c r="D257" s="1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8"/>
      <c r="B258" s="15"/>
      <c r="C258" s="15"/>
      <c r="D258" s="15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8"/>
      <c r="B259" s="15"/>
      <c r="C259" s="15"/>
      <c r="D259" s="15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8"/>
      <c r="B260" s="15"/>
      <c r="C260" s="15"/>
      <c r="D260" s="15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8"/>
      <c r="B261" s="15"/>
      <c r="C261" s="15"/>
      <c r="D261" s="15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8"/>
      <c r="B262" s="15"/>
      <c r="C262" s="15"/>
      <c r="D262" s="15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8"/>
      <c r="B263" s="15"/>
      <c r="C263" s="15"/>
      <c r="D263" s="15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8"/>
      <c r="B264" s="15"/>
      <c r="C264" s="15"/>
      <c r="D264" s="15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8"/>
      <c r="B265" s="15"/>
      <c r="C265" s="15"/>
      <c r="D265" s="15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8"/>
      <c r="B266" s="15"/>
      <c r="C266" s="15"/>
      <c r="D266" s="15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8"/>
      <c r="B267" s="15"/>
      <c r="C267" s="15"/>
      <c r="D267" s="15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8"/>
      <c r="B268" s="15"/>
      <c r="C268" s="15"/>
      <c r="D268" s="15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8"/>
      <c r="B269" s="15"/>
      <c r="C269" s="15"/>
      <c r="D269" s="15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8"/>
      <c r="B270" s="15"/>
      <c r="C270" s="15"/>
      <c r="D270" s="15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8"/>
      <c r="B271" s="15"/>
      <c r="C271" s="15"/>
      <c r="D271" s="15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8"/>
      <c r="B272" s="15"/>
      <c r="C272" s="15"/>
      <c r="D272" s="15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8"/>
      <c r="B273" s="15"/>
      <c r="C273" s="15"/>
      <c r="D273" s="15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8"/>
      <c r="B274" s="15"/>
      <c r="C274" s="15"/>
      <c r="D274" s="15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8"/>
      <c r="B275" s="15"/>
      <c r="C275" s="15"/>
      <c r="D275" s="15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8"/>
      <c r="B276" s="15"/>
      <c r="C276" s="15"/>
      <c r="D276" s="15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8"/>
      <c r="B277" s="15"/>
      <c r="C277" s="15"/>
      <c r="D277" s="15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8"/>
      <c r="B278" s="15"/>
      <c r="C278" s="15"/>
      <c r="D278" s="15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8"/>
      <c r="B279" s="15"/>
      <c r="C279" s="15"/>
      <c r="D279" s="15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8"/>
      <c r="B280" s="15"/>
      <c r="C280" s="15"/>
      <c r="D280" s="15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8"/>
      <c r="B281" s="15"/>
      <c r="C281" s="15"/>
      <c r="D281" s="15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8"/>
      <c r="B282" s="15"/>
      <c r="C282" s="15"/>
      <c r="D282" s="15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8"/>
      <c r="B283" s="15"/>
      <c r="C283" s="15"/>
      <c r="D283" s="15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8"/>
      <c r="B284" s="15"/>
      <c r="C284" s="15"/>
      <c r="D284" s="15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8"/>
      <c r="B285" s="15"/>
      <c r="C285" s="15"/>
      <c r="D285" s="15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8"/>
      <c r="B286" s="15"/>
      <c r="C286" s="15"/>
      <c r="D286" s="15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8"/>
      <c r="B287" s="15"/>
      <c r="C287" s="15"/>
      <c r="D287" s="15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8"/>
      <c r="B288" s="15"/>
      <c r="C288" s="15"/>
      <c r="D288" s="1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8"/>
      <c r="B289" s="15"/>
      <c r="C289" s="15"/>
      <c r="D289" s="15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8"/>
      <c r="B290" s="15"/>
      <c r="C290" s="15"/>
      <c r="D290" s="15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8"/>
      <c r="B291" s="15"/>
      <c r="C291" s="15"/>
      <c r="D291" s="15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8"/>
      <c r="B292" s="15"/>
      <c r="C292" s="15"/>
      <c r="D292" s="15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8"/>
      <c r="B293" s="15"/>
      <c r="C293" s="15"/>
      <c r="D293" s="15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8"/>
      <c r="B294" s="15"/>
      <c r="C294" s="15"/>
      <c r="D294" s="15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8"/>
      <c r="B295" s="15"/>
      <c r="C295" s="15"/>
      <c r="D295" s="15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8"/>
      <c r="B296" s="15"/>
      <c r="C296" s="15"/>
      <c r="D296" s="15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8"/>
      <c r="B297" s="15"/>
      <c r="C297" s="15"/>
      <c r="D297" s="15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8"/>
      <c r="B298" s="15"/>
      <c r="C298" s="15"/>
      <c r="D298" s="15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8"/>
      <c r="B299" s="15"/>
      <c r="C299" s="15"/>
      <c r="D299" s="15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8"/>
      <c r="B300" s="15"/>
      <c r="C300" s="15"/>
      <c r="D300" s="15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8"/>
      <c r="B301" s="15"/>
      <c r="C301" s="15"/>
      <c r="D301" s="15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8"/>
      <c r="B302" s="15"/>
      <c r="C302" s="15"/>
      <c r="D302" s="15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8"/>
      <c r="B303" s="15"/>
      <c r="C303" s="15"/>
      <c r="D303" s="15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8"/>
      <c r="B304" s="15"/>
      <c r="C304" s="15"/>
      <c r="D304" s="15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8"/>
      <c r="B305" s="15"/>
      <c r="C305" s="15"/>
      <c r="D305" s="15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8"/>
      <c r="B306" s="15"/>
      <c r="C306" s="15"/>
      <c r="D306" s="15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8"/>
      <c r="B307" s="15"/>
      <c r="C307" s="15"/>
      <c r="D307" s="15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8"/>
      <c r="B308" s="15"/>
      <c r="C308" s="15"/>
      <c r="D308" s="15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8"/>
      <c r="B309" s="15"/>
      <c r="C309" s="15"/>
      <c r="D309" s="15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8"/>
      <c r="B310" s="15"/>
      <c r="C310" s="15"/>
      <c r="D310" s="15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8"/>
      <c r="B311" s="15"/>
      <c r="C311" s="15"/>
      <c r="D311" s="15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8"/>
      <c r="B312" s="15"/>
      <c r="C312" s="15"/>
      <c r="D312" s="15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8"/>
      <c r="B313" s="15"/>
      <c r="C313" s="15"/>
      <c r="D313" s="15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8"/>
      <c r="B314" s="15"/>
      <c r="C314" s="15"/>
      <c r="D314" s="15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8"/>
      <c r="B315" s="15"/>
      <c r="C315" s="15"/>
      <c r="D315" s="15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8"/>
      <c r="B316" s="15"/>
      <c r="C316" s="15"/>
      <c r="D316" s="15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8"/>
      <c r="B317" s="15"/>
      <c r="C317" s="15"/>
      <c r="D317" s="15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8"/>
      <c r="B318" s="15"/>
      <c r="C318" s="15"/>
      <c r="D318" s="15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8"/>
      <c r="B319" s="15"/>
      <c r="C319" s="15"/>
      <c r="D319" s="15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8"/>
      <c r="B320" s="15"/>
      <c r="C320" s="15"/>
      <c r="D320" s="15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8"/>
      <c r="B321" s="15"/>
      <c r="C321" s="15"/>
      <c r="D321" s="15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8"/>
      <c r="B322" s="15"/>
      <c r="C322" s="15"/>
      <c r="D322" s="15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8"/>
      <c r="B323" s="15"/>
      <c r="C323" s="15"/>
      <c r="D323" s="15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8"/>
      <c r="B324" s="15"/>
      <c r="C324" s="15"/>
      <c r="D324" s="15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8"/>
      <c r="B325" s="15"/>
      <c r="C325" s="15"/>
      <c r="D325" s="15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8"/>
      <c r="B326" s="15"/>
      <c r="C326" s="15"/>
      <c r="D326" s="15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8"/>
      <c r="B327" s="15"/>
      <c r="C327" s="15"/>
      <c r="D327" s="15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8"/>
      <c r="B328" s="15"/>
      <c r="C328" s="15"/>
      <c r="D328" s="15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8"/>
      <c r="B329" s="15"/>
      <c r="C329" s="15"/>
      <c r="D329" s="15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8"/>
      <c r="B330" s="15"/>
      <c r="C330" s="15"/>
      <c r="D330" s="15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8"/>
      <c r="B331" s="15"/>
      <c r="C331" s="15"/>
      <c r="D331" s="15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8"/>
      <c r="B332" s="15"/>
      <c r="C332" s="15"/>
      <c r="D332" s="15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8"/>
      <c r="B333" s="15"/>
      <c r="C333" s="15"/>
      <c r="D333" s="15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8"/>
      <c r="B334" s="15"/>
      <c r="C334" s="15"/>
      <c r="D334" s="15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8"/>
      <c r="B335" s="15"/>
      <c r="C335" s="15"/>
      <c r="D335" s="15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8"/>
      <c r="B336" s="15"/>
      <c r="C336" s="15"/>
      <c r="D336" s="15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8"/>
      <c r="B337" s="15"/>
      <c r="C337" s="15"/>
      <c r="D337" s="15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8"/>
      <c r="B338" s="15"/>
      <c r="C338" s="15"/>
      <c r="D338" s="1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8"/>
      <c r="B339" s="15"/>
      <c r="C339" s="15"/>
      <c r="D339" s="15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8"/>
      <c r="B340" s="15"/>
      <c r="C340" s="15"/>
      <c r="D340" s="15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8"/>
      <c r="B341" s="15"/>
      <c r="C341" s="15"/>
      <c r="D341" s="15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8"/>
      <c r="B342" s="15"/>
      <c r="C342" s="15"/>
      <c r="D342" s="15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8"/>
      <c r="B343" s="15"/>
      <c r="C343" s="15"/>
      <c r="D343" s="15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8"/>
      <c r="B344" s="15"/>
      <c r="C344" s="15"/>
      <c r="D344" s="15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8"/>
      <c r="B345" s="15"/>
      <c r="C345" s="15"/>
      <c r="D345" s="15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8"/>
      <c r="B346" s="15"/>
      <c r="C346" s="15"/>
      <c r="D346" s="15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8"/>
      <c r="B347" s="15"/>
      <c r="C347" s="15"/>
      <c r="D347" s="15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8"/>
      <c r="B348" s="15"/>
      <c r="C348" s="15"/>
      <c r="D348" s="15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8"/>
      <c r="B349" s="15"/>
      <c r="C349" s="15"/>
      <c r="D349" s="15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8"/>
      <c r="B350" s="15"/>
      <c r="C350" s="15"/>
      <c r="D350" s="15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8"/>
      <c r="B351" s="15"/>
      <c r="C351" s="15"/>
      <c r="D351" s="15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8"/>
      <c r="B352" s="15"/>
      <c r="C352" s="15"/>
      <c r="D352" s="15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8"/>
      <c r="B353" s="15"/>
      <c r="C353" s="15"/>
      <c r="D353" s="15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8"/>
      <c r="B354" s="15"/>
      <c r="C354" s="15"/>
      <c r="D354" s="15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8"/>
      <c r="B355" s="15"/>
      <c r="C355" s="15"/>
      <c r="D355" s="15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8"/>
      <c r="B356" s="15"/>
      <c r="C356" s="15"/>
      <c r="D356" s="15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8"/>
      <c r="B357" s="15"/>
      <c r="C357" s="15"/>
      <c r="D357" s="15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8"/>
      <c r="B358" s="15"/>
      <c r="C358" s="15"/>
      <c r="D358" s="15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8"/>
      <c r="B359" s="15"/>
      <c r="C359" s="15"/>
      <c r="D359" s="15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8"/>
      <c r="B360" s="15"/>
      <c r="C360" s="15"/>
      <c r="D360" s="15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8"/>
      <c r="B361" s="15"/>
      <c r="C361" s="15"/>
      <c r="D361" s="15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8"/>
      <c r="B362" s="15"/>
      <c r="C362" s="15"/>
      <c r="D362" s="15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8"/>
      <c r="B363" s="15"/>
      <c r="C363" s="15"/>
      <c r="D363" s="15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8"/>
      <c r="B364" s="15"/>
      <c r="C364" s="15"/>
      <c r="D364" s="15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8"/>
      <c r="B365" s="15"/>
      <c r="C365" s="15"/>
      <c r="D365" s="15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8"/>
      <c r="B366" s="15"/>
      <c r="C366" s="15"/>
      <c r="D366" s="15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8"/>
      <c r="B367" s="15"/>
      <c r="C367" s="15"/>
      <c r="D367" s="15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8"/>
      <c r="B368" s="15"/>
      <c r="C368" s="15"/>
      <c r="D368" s="15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8"/>
      <c r="B369" s="15"/>
      <c r="C369" s="15"/>
      <c r="D369" s="15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8"/>
      <c r="B370" s="15"/>
      <c r="C370" s="15"/>
      <c r="D370" s="15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8"/>
      <c r="B371" s="15"/>
      <c r="C371" s="15"/>
      <c r="D371" s="15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8"/>
      <c r="B372" s="15"/>
      <c r="C372" s="15"/>
      <c r="D372" s="15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8"/>
      <c r="B373" s="15"/>
      <c r="C373" s="15"/>
      <c r="D373" s="15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8"/>
      <c r="B374" s="15"/>
      <c r="C374" s="15"/>
      <c r="D374" s="15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8"/>
      <c r="B375" s="15"/>
      <c r="C375" s="15"/>
      <c r="D375" s="15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8"/>
      <c r="B376" s="15"/>
      <c r="C376" s="15"/>
      <c r="D376" s="15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8"/>
      <c r="B377" s="15"/>
      <c r="C377" s="15"/>
      <c r="D377" s="15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8"/>
      <c r="B378" s="15"/>
      <c r="C378" s="15"/>
      <c r="D378" s="15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8"/>
      <c r="B379" s="15"/>
      <c r="C379" s="15"/>
      <c r="D379" s="15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8"/>
      <c r="B380" s="15"/>
      <c r="C380" s="15"/>
      <c r="D380" s="15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8"/>
      <c r="B381" s="15"/>
      <c r="C381" s="15"/>
      <c r="D381" s="15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8"/>
      <c r="B382" s="15"/>
      <c r="C382" s="15"/>
      <c r="D382" s="15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8"/>
      <c r="B383" s="15"/>
      <c r="C383" s="15"/>
      <c r="D383" s="15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8"/>
      <c r="B384" s="15"/>
      <c r="C384" s="15"/>
      <c r="D384" s="15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8"/>
      <c r="B385" s="15"/>
      <c r="C385" s="15"/>
      <c r="D385" s="15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8"/>
      <c r="B386" s="15"/>
      <c r="C386" s="15"/>
      <c r="D386" s="15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8"/>
      <c r="B387" s="15"/>
      <c r="C387" s="15"/>
      <c r="D387" s="15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8"/>
      <c r="B388" s="15"/>
      <c r="C388" s="15"/>
      <c r="D388" s="15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8"/>
      <c r="B389" s="15"/>
      <c r="C389" s="15"/>
      <c r="D389" s="15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8"/>
      <c r="B390" s="15"/>
      <c r="C390" s="15"/>
      <c r="D390" s="15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8"/>
      <c r="B391" s="15"/>
      <c r="C391" s="15"/>
      <c r="D391" s="15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8"/>
      <c r="B392" s="15"/>
      <c r="C392" s="15"/>
      <c r="D392" s="15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8"/>
      <c r="B393" s="15"/>
      <c r="C393" s="15"/>
      <c r="D393" s="15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8"/>
      <c r="B394" s="15"/>
      <c r="C394" s="15"/>
      <c r="D394" s="15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8"/>
      <c r="B395" s="15"/>
      <c r="C395" s="15"/>
      <c r="D395" s="15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8"/>
      <c r="B396" s="15"/>
      <c r="C396" s="15"/>
      <c r="D396" s="15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8"/>
      <c r="B397" s="15"/>
      <c r="C397" s="15"/>
      <c r="D397" s="15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8"/>
      <c r="B398" s="15"/>
      <c r="C398" s="15"/>
      <c r="D398" s="15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8"/>
      <c r="B399" s="15"/>
      <c r="C399" s="15"/>
      <c r="D399" s="15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8"/>
      <c r="B400" s="15"/>
      <c r="C400" s="15"/>
      <c r="D400" s="15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8"/>
      <c r="B401" s="15"/>
      <c r="C401" s="15"/>
      <c r="D401" s="15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8"/>
      <c r="B402" s="15"/>
      <c r="C402" s="15"/>
      <c r="D402" s="15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8"/>
      <c r="B403" s="15"/>
      <c r="C403" s="15"/>
      <c r="D403" s="15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8"/>
      <c r="B404" s="15"/>
      <c r="C404" s="15"/>
      <c r="D404" s="15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8"/>
      <c r="B405" s="15"/>
      <c r="C405" s="15"/>
      <c r="D405" s="15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8"/>
      <c r="B406" s="15"/>
      <c r="C406" s="15"/>
      <c r="D406" s="15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8"/>
      <c r="B407" s="15"/>
      <c r="C407" s="15"/>
      <c r="D407" s="15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8"/>
      <c r="B408" s="15"/>
      <c r="C408" s="15"/>
      <c r="D408" s="15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8"/>
      <c r="B409" s="15"/>
      <c r="C409" s="15"/>
      <c r="D409" s="15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8"/>
      <c r="B410" s="15"/>
      <c r="C410" s="15"/>
      <c r="D410" s="15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8"/>
      <c r="B411" s="15"/>
      <c r="C411" s="15"/>
      <c r="D411" s="15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8"/>
      <c r="B412" s="15"/>
      <c r="C412" s="15"/>
      <c r="D412" s="15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8"/>
      <c r="B413" s="15"/>
      <c r="C413" s="15"/>
      <c r="D413" s="15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8"/>
      <c r="B414" s="15"/>
      <c r="C414" s="15"/>
      <c r="D414" s="15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8"/>
      <c r="B415" s="15"/>
      <c r="C415" s="15"/>
      <c r="D415" s="15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8"/>
      <c r="B416" s="15"/>
      <c r="C416" s="15"/>
      <c r="D416" s="15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8"/>
      <c r="B417" s="15"/>
      <c r="C417" s="15"/>
      <c r="D417" s="15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8"/>
      <c r="B418" s="15"/>
      <c r="C418" s="15"/>
      <c r="D418" s="15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8"/>
      <c r="B419" s="15"/>
      <c r="C419" s="15"/>
      <c r="D419" s="15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8"/>
      <c r="B420" s="15"/>
      <c r="C420" s="15"/>
      <c r="D420" s="15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8"/>
      <c r="B421" s="15"/>
      <c r="C421" s="15"/>
      <c r="D421" s="15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8"/>
      <c r="B422" s="15"/>
      <c r="C422" s="15"/>
      <c r="D422" s="15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8"/>
      <c r="B423" s="15"/>
      <c r="C423" s="15"/>
      <c r="D423" s="1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8"/>
      <c r="B424" s="15"/>
      <c r="C424" s="15"/>
      <c r="D424" s="15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8"/>
      <c r="B425" s="15"/>
      <c r="C425" s="15"/>
      <c r="D425" s="15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8"/>
      <c r="B426" s="15"/>
      <c r="C426" s="15"/>
      <c r="D426" s="15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8"/>
      <c r="B427" s="15"/>
      <c r="C427" s="15"/>
      <c r="D427" s="15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8"/>
      <c r="B428" s="15"/>
      <c r="C428" s="15"/>
      <c r="D428" s="15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8"/>
      <c r="B429" s="15"/>
      <c r="C429" s="15"/>
      <c r="D429" s="15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8"/>
      <c r="B430" s="15"/>
      <c r="C430" s="15"/>
      <c r="D430" s="15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8"/>
      <c r="B431" s="15"/>
      <c r="C431" s="15"/>
      <c r="D431" s="15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8"/>
      <c r="B432" s="15"/>
      <c r="C432" s="15"/>
      <c r="D432" s="15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8"/>
      <c r="B433" s="15"/>
      <c r="C433" s="15"/>
      <c r="D433" s="15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8"/>
      <c r="B434" s="15"/>
      <c r="C434" s="15"/>
      <c r="D434" s="15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8"/>
      <c r="B435" s="15"/>
      <c r="C435" s="15"/>
      <c r="D435" s="1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8"/>
      <c r="B436" s="15"/>
      <c r="C436" s="15"/>
      <c r="D436" s="1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8"/>
      <c r="B437" s="15"/>
      <c r="C437" s="15"/>
      <c r="D437" s="15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8"/>
      <c r="B438" s="15"/>
      <c r="C438" s="15"/>
      <c r="D438" s="15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8"/>
      <c r="B439" s="15"/>
      <c r="C439" s="15"/>
      <c r="D439" s="15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8"/>
      <c r="B440" s="15"/>
      <c r="C440" s="15"/>
      <c r="D440" s="15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8"/>
      <c r="B441" s="15"/>
      <c r="C441" s="15"/>
      <c r="D441" s="15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8"/>
      <c r="B442" s="15"/>
      <c r="C442" s="15"/>
      <c r="D442" s="15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8"/>
      <c r="B443" s="15"/>
      <c r="C443" s="15"/>
      <c r="D443" s="15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8"/>
      <c r="B444" s="15"/>
      <c r="C444" s="15"/>
      <c r="D444" s="15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8"/>
      <c r="B445" s="15"/>
      <c r="C445" s="15"/>
      <c r="D445" s="15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8"/>
      <c r="B446" s="15"/>
      <c r="C446" s="15"/>
      <c r="D446" s="15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8"/>
      <c r="B447" s="15"/>
      <c r="C447" s="15"/>
      <c r="D447" s="15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8"/>
      <c r="B448" s="15"/>
      <c r="C448" s="15"/>
      <c r="D448" s="15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8"/>
      <c r="B449" s="15"/>
      <c r="C449" s="15"/>
      <c r="D449" s="15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8"/>
      <c r="B450" s="15"/>
      <c r="C450" s="15"/>
      <c r="D450" s="15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8"/>
      <c r="B451" s="15"/>
      <c r="C451" s="15"/>
      <c r="D451" s="15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8"/>
      <c r="B452" s="15"/>
      <c r="C452" s="15"/>
      <c r="D452" s="15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8"/>
      <c r="B453" s="15"/>
      <c r="C453" s="15"/>
      <c r="D453" s="15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8"/>
      <c r="B454" s="15"/>
      <c r="C454" s="15"/>
      <c r="D454" s="15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8"/>
      <c r="B455" s="15"/>
      <c r="C455" s="15"/>
      <c r="D455" s="15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8"/>
      <c r="B456" s="15"/>
      <c r="C456" s="15"/>
      <c r="D456" s="15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8"/>
      <c r="B457" s="15"/>
      <c r="C457" s="15"/>
      <c r="D457" s="15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8"/>
      <c r="B458" s="15"/>
      <c r="C458" s="15"/>
      <c r="D458" s="15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8"/>
      <c r="B459" s="15"/>
      <c r="C459" s="15"/>
      <c r="D459" s="15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8"/>
      <c r="B460" s="15"/>
      <c r="C460" s="15"/>
      <c r="D460" s="15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8"/>
      <c r="B461" s="15"/>
      <c r="C461" s="15"/>
      <c r="D461" s="15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8"/>
      <c r="B462" s="15"/>
      <c r="C462" s="15"/>
      <c r="D462" s="15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8"/>
      <c r="B463" s="15"/>
      <c r="C463" s="15"/>
      <c r="D463" s="15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8"/>
      <c r="B464" s="15"/>
      <c r="C464" s="15"/>
      <c r="D464" s="15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8"/>
      <c r="B465" s="15"/>
      <c r="C465" s="15"/>
      <c r="D465" s="15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8"/>
      <c r="B466" s="15"/>
      <c r="C466" s="15"/>
      <c r="D466" s="15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8"/>
      <c r="B467" s="15"/>
      <c r="C467" s="15"/>
      <c r="D467" s="15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8"/>
      <c r="B468" s="15"/>
      <c r="C468" s="15"/>
      <c r="D468" s="15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8"/>
      <c r="B469" s="15"/>
      <c r="C469" s="15"/>
      <c r="D469" s="15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8"/>
      <c r="B470" s="15"/>
      <c r="C470" s="15"/>
      <c r="D470" s="15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8"/>
      <c r="B471" s="15"/>
      <c r="C471" s="15"/>
      <c r="D471" s="15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8"/>
      <c r="B472" s="15"/>
      <c r="C472" s="15"/>
      <c r="D472" s="15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8"/>
      <c r="B473" s="15"/>
      <c r="C473" s="15"/>
      <c r="D473" s="15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8"/>
      <c r="B474" s="15"/>
      <c r="C474" s="15"/>
      <c r="D474" s="15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8"/>
      <c r="B475" s="15"/>
      <c r="C475" s="15"/>
      <c r="D475" s="15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8"/>
      <c r="B476" s="15"/>
      <c r="C476" s="15"/>
      <c r="D476" s="15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8"/>
      <c r="B477" s="15"/>
      <c r="C477" s="15"/>
      <c r="D477" s="15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8"/>
      <c r="B478" s="15"/>
      <c r="C478" s="15"/>
      <c r="D478" s="15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8"/>
      <c r="B479" s="15"/>
      <c r="C479" s="15"/>
      <c r="D479" s="15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8"/>
      <c r="B480" s="15"/>
      <c r="C480" s="15"/>
      <c r="D480" s="15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8"/>
      <c r="B481" s="15"/>
      <c r="C481" s="15"/>
      <c r="D481" s="15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8"/>
      <c r="B482" s="15"/>
      <c r="C482" s="15"/>
      <c r="D482" s="15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8"/>
      <c r="B483" s="15"/>
      <c r="C483" s="15"/>
      <c r="D483" s="15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8"/>
      <c r="B484" s="15"/>
      <c r="C484" s="15"/>
      <c r="D484" s="15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8"/>
      <c r="B485" s="15"/>
      <c r="C485" s="15"/>
      <c r="D485" s="15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8"/>
      <c r="B486" s="15"/>
      <c r="C486" s="15"/>
      <c r="D486" s="15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8"/>
      <c r="B487" s="15"/>
      <c r="C487" s="15"/>
      <c r="D487" s="15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8"/>
      <c r="B488" s="15"/>
      <c r="C488" s="15"/>
      <c r="D488" s="15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8"/>
      <c r="B489" s="15"/>
      <c r="C489" s="15"/>
      <c r="D489" s="15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8"/>
      <c r="B490" s="15"/>
      <c r="C490" s="15"/>
      <c r="D490" s="15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8"/>
      <c r="B491" s="15"/>
      <c r="C491" s="15"/>
      <c r="D491" s="15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8"/>
      <c r="B492" s="15"/>
      <c r="C492" s="15"/>
      <c r="D492" s="15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8"/>
      <c r="B493" s="15"/>
      <c r="C493" s="15"/>
      <c r="D493" s="15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8"/>
      <c r="B494" s="15"/>
      <c r="C494" s="15"/>
      <c r="D494" s="15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8"/>
      <c r="B495" s="15"/>
      <c r="C495" s="15"/>
      <c r="D495" s="15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8"/>
      <c r="B496" s="15"/>
      <c r="C496" s="15"/>
      <c r="D496" s="15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8"/>
      <c r="B497" s="15"/>
      <c r="C497" s="15"/>
      <c r="D497" s="15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8"/>
      <c r="B498" s="15"/>
      <c r="C498" s="15"/>
      <c r="D498" s="15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8"/>
      <c r="B499" s="15"/>
      <c r="C499" s="15"/>
      <c r="D499" s="15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8"/>
      <c r="B500" s="15"/>
      <c r="C500" s="15"/>
      <c r="D500" s="15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8"/>
      <c r="B501" s="15"/>
      <c r="C501" s="15"/>
      <c r="D501" s="15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8"/>
      <c r="B502" s="15"/>
      <c r="C502" s="15"/>
      <c r="D502" s="15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8"/>
      <c r="B503" s="15"/>
      <c r="C503" s="15"/>
      <c r="D503" s="15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8"/>
      <c r="B504" s="15"/>
      <c r="C504" s="15"/>
      <c r="D504" s="15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8"/>
      <c r="B505" s="15"/>
      <c r="C505" s="15"/>
      <c r="D505" s="15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8"/>
      <c r="B506" s="15"/>
      <c r="C506" s="15"/>
      <c r="D506" s="15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8"/>
      <c r="B507" s="15"/>
      <c r="C507" s="15"/>
      <c r="D507" s="15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8"/>
      <c r="B508" s="15"/>
      <c r="C508" s="15"/>
      <c r="D508" s="15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8"/>
      <c r="B509" s="15"/>
      <c r="C509" s="15"/>
      <c r="D509" s="15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8"/>
      <c r="B510" s="15"/>
      <c r="C510" s="15"/>
      <c r="D510" s="15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8"/>
      <c r="B511" s="15"/>
      <c r="C511" s="15"/>
      <c r="D511" s="15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8"/>
      <c r="B512" s="15"/>
      <c r="C512" s="15"/>
      <c r="D512" s="15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8"/>
      <c r="B513" s="15"/>
      <c r="C513" s="15"/>
      <c r="D513" s="15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8"/>
      <c r="B514" s="15"/>
      <c r="C514" s="15"/>
      <c r="D514" s="15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8"/>
      <c r="B515" s="15"/>
      <c r="C515" s="15"/>
      <c r="D515" s="15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8"/>
      <c r="B516" s="15"/>
      <c r="C516" s="15"/>
      <c r="D516" s="15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8"/>
      <c r="B517" s="15"/>
      <c r="C517" s="15"/>
      <c r="D517" s="15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8"/>
      <c r="B518" s="15"/>
      <c r="C518" s="15"/>
      <c r="D518" s="15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8"/>
      <c r="B519" s="15"/>
      <c r="C519" s="15"/>
      <c r="D519" s="15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8"/>
      <c r="B520" s="15"/>
      <c r="C520" s="15"/>
      <c r="D520" s="15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8"/>
      <c r="B521" s="15"/>
      <c r="C521" s="15"/>
      <c r="D521" s="15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8"/>
      <c r="B522" s="15"/>
      <c r="C522" s="15"/>
      <c r="D522" s="15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8"/>
      <c r="B523" s="15"/>
      <c r="C523" s="15"/>
      <c r="D523" s="15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8"/>
      <c r="B524" s="15"/>
      <c r="C524" s="15"/>
      <c r="D524" s="15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8"/>
      <c r="B525" s="15"/>
      <c r="C525" s="15"/>
      <c r="D525" s="15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8"/>
      <c r="B526" s="15"/>
      <c r="C526" s="15"/>
      <c r="D526" s="15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8"/>
      <c r="B527" s="15"/>
      <c r="C527" s="15"/>
      <c r="D527" s="15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8"/>
      <c r="B528" s="15"/>
      <c r="C528" s="15"/>
      <c r="D528" s="15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8"/>
      <c r="B529" s="15"/>
      <c r="C529" s="15"/>
      <c r="D529" s="15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8"/>
      <c r="B530" s="15"/>
      <c r="C530" s="15"/>
      <c r="D530" s="15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8"/>
      <c r="B531" s="15"/>
      <c r="C531" s="15"/>
      <c r="D531" s="15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8"/>
      <c r="B532" s="15"/>
      <c r="C532" s="15"/>
      <c r="D532" s="15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8"/>
      <c r="B533" s="15"/>
      <c r="C533" s="15"/>
      <c r="D533" s="15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8"/>
      <c r="B534" s="15"/>
      <c r="C534" s="15"/>
      <c r="D534" s="15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8"/>
      <c r="B535" s="15"/>
      <c r="C535" s="15"/>
      <c r="D535" s="15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8"/>
      <c r="B536" s="15"/>
      <c r="C536" s="15"/>
      <c r="D536" s="15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8"/>
      <c r="B537" s="15"/>
      <c r="C537" s="15"/>
      <c r="D537" s="15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8"/>
      <c r="B538" s="15"/>
      <c r="C538" s="15"/>
      <c r="D538" s="15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8"/>
      <c r="B539" s="15"/>
      <c r="C539" s="15"/>
      <c r="D539" s="15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8"/>
      <c r="B540" s="15"/>
      <c r="C540" s="15"/>
      <c r="D540" s="15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8"/>
      <c r="B541" s="15"/>
      <c r="C541" s="15"/>
      <c r="D541" s="15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8"/>
      <c r="B542" s="15"/>
      <c r="C542" s="15"/>
      <c r="D542" s="15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8"/>
      <c r="B543" s="15"/>
      <c r="C543" s="15"/>
      <c r="D543" s="15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8"/>
      <c r="B544" s="15"/>
      <c r="C544" s="15"/>
      <c r="D544" s="15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8"/>
      <c r="B545" s="15"/>
      <c r="C545" s="15"/>
      <c r="D545" s="15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8"/>
      <c r="B546" s="15"/>
      <c r="C546" s="15"/>
      <c r="D546" s="15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8"/>
      <c r="B547" s="15"/>
      <c r="C547" s="15"/>
      <c r="D547" s="15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8"/>
      <c r="B548" s="15"/>
      <c r="C548" s="15"/>
      <c r="D548" s="15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8"/>
      <c r="B549" s="15"/>
      <c r="C549" s="15"/>
      <c r="D549" s="15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8"/>
      <c r="B550" s="15"/>
      <c r="C550" s="15"/>
      <c r="D550" s="15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8"/>
      <c r="B551" s="15"/>
      <c r="C551" s="15"/>
      <c r="D551" s="15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8"/>
      <c r="B552" s="15"/>
      <c r="C552" s="15"/>
      <c r="D552" s="15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8"/>
      <c r="B553" s="15"/>
      <c r="C553" s="15"/>
      <c r="D553" s="15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8"/>
      <c r="B554" s="15"/>
      <c r="C554" s="15"/>
      <c r="D554" s="15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8"/>
      <c r="B555" s="15"/>
      <c r="C555" s="15"/>
      <c r="D555" s="15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8"/>
      <c r="B556" s="15"/>
      <c r="C556" s="15"/>
      <c r="D556" s="15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8"/>
      <c r="B557" s="15"/>
      <c r="C557" s="15"/>
      <c r="D557" s="15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8"/>
      <c r="B558" s="15"/>
      <c r="C558" s="15"/>
      <c r="D558" s="15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8"/>
      <c r="B559" s="15"/>
      <c r="C559" s="15"/>
      <c r="D559" s="15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8"/>
      <c r="B560" s="15"/>
      <c r="C560" s="15"/>
      <c r="D560" s="15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8"/>
      <c r="B561" s="15"/>
      <c r="C561" s="15"/>
      <c r="D561" s="15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8"/>
      <c r="B562" s="15"/>
      <c r="C562" s="15"/>
      <c r="D562" s="15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8"/>
      <c r="B563" s="15"/>
      <c r="C563" s="15"/>
      <c r="D563" s="15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8"/>
      <c r="B564" s="15"/>
      <c r="C564" s="15"/>
      <c r="D564" s="15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8"/>
      <c r="B565" s="15"/>
      <c r="C565" s="15"/>
      <c r="D565" s="15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8"/>
      <c r="B566" s="15"/>
      <c r="C566" s="15"/>
      <c r="D566" s="15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8"/>
      <c r="B567" s="15"/>
      <c r="C567" s="15"/>
      <c r="D567" s="15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8"/>
      <c r="B568" s="15"/>
      <c r="C568" s="15"/>
      <c r="D568" s="15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8"/>
      <c r="B569" s="15"/>
      <c r="C569" s="15"/>
      <c r="D569" s="15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8"/>
      <c r="B570" s="15"/>
      <c r="C570" s="15"/>
      <c r="D570" s="15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8"/>
      <c r="B571" s="15"/>
      <c r="C571" s="15"/>
      <c r="D571" s="15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8"/>
      <c r="B572" s="15"/>
      <c r="C572" s="15"/>
      <c r="D572" s="15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8"/>
      <c r="B573" s="15"/>
      <c r="C573" s="15"/>
      <c r="D573" s="15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8"/>
      <c r="B574" s="15"/>
      <c r="C574" s="15"/>
      <c r="D574" s="15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8"/>
      <c r="B575" s="15"/>
      <c r="C575" s="15"/>
      <c r="D575" s="15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8"/>
      <c r="B576" s="15"/>
      <c r="C576" s="15"/>
      <c r="D576" s="15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8"/>
      <c r="B577" s="15"/>
      <c r="C577" s="15"/>
      <c r="D577" s="15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8"/>
      <c r="B578" s="15"/>
      <c r="C578" s="15"/>
      <c r="D578" s="15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8"/>
      <c r="B579" s="15"/>
      <c r="C579" s="15"/>
      <c r="D579" s="15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8"/>
      <c r="B580" s="15"/>
      <c r="C580" s="15"/>
      <c r="D580" s="15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8"/>
      <c r="B581" s="15"/>
      <c r="C581" s="15"/>
      <c r="D581" s="15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8"/>
      <c r="B582" s="15"/>
      <c r="C582" s="15"/>
      <c r="D582" s="15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8"/>
      <c r="B583" s="15"/>
      <c r="C583" s="15"/>
      <c r="D583" s="15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8"/>
      <c r="B584" s="15"/>
      <c r="C584" s="15"/>
      <c r="D584" s="15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8"/>
      <c r="B585" s="15"/>
      <c r="C585" s="15"/>
      <c r="D585" s="15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8"/>
      <c r="B586" s="15"/>
      <c r="C586" s="15"/>
      <c r="D586" s="15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8"/>
      <c r="B587" s="15"/>
      <c r="C587" s="15"/>
      <c r="D587" s="15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8"/>
      <c r="B588" s="15"/>
      <c r="C588" s="15"/>
      <c r="D588" s="15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8"/>
      <c r="B589" s="15"/>
      <c r="C589" s="15"/>
      <c r="D589" s="15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8"/>
      <c r="B590" s="15"/>
      <c r="C590" s="15"/>
      <c r="D590" s="15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8"/>
      <c r="B591" s="15"/>
      <c r="C591" s="15"/>
      <c r="D591" s="15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8"/>
      <c r="B592" s="15"/>
      <c r="C592" s="15"/>
      <c r="D592" s="15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8"/>
      <c r="B593" s="15"/>
      <c r="C593" s="15"/>
      <c r="D593" s="15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8"/>
      <c r="B594" s="15"/>
      <c r="C594" s="15"/>
      <c r="D594" s="15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8"/>
      <c r="B595" s="15"/>
      <c r="C595" s="15"/>
      <c r="D595" s="15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8"/>
      <c r="B596" s="15"/>
      <c r="C596" s="15"/>
      <c r="D596" s="15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8"/>
      <c r="B597" s="15"/>
      <c r="C597" s="15"/>
      <c r="D597" s="15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8"/>
      <c r="B598" s="15"/>
      <c r="C598" s="15"/>
      <c r="D598" s="15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8"/>
      <c r="B599" s="15"/>
      <c r="C599" s="15"/>
      <c r="D599" s="15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8"/>
      <c r="B600" s="15"/>
      <c r="C600" s="15"/>
      <c r="D600" s="15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8"/>
      <c r="B601" s="15"/>
      <c r="C601" s="15"/>
      <c r="D601" s="15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8"/>
      <c r="B602" s="15"/>
      <c r="C602" s="15"/>
      <c r="D602" s="15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8"/>
      <c r="B603" s="15"/>
      <c r="C603" s="15"/>
      <c r="D603" s="15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8"/>
      <c r="B604" s="15"/>
      <c r="C604" s="15"/>
      <c r="D604" s="15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8"/>
      <c r="B605" s="15"/>
      <c r="C605" s="15"/>
      <c r="D605" s="15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8"/>
      <c r="B606" s="15"/>
      <c r="C606" s="15"/>
      <c r="D606" s="15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8"/>
      <c r="B607" s="15"/>
      <c r="C607" s="15"/>
      <c r="D607" s="15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8"/>
      <c r="B608" s="15"/>
      <c r="C608" s="15"/>
      <c r="D608" s="15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8"/>
      <c r="B609" s="15"/>
      <c r="C609" s="15"/>
      <c r="D609" s="15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8"/>
      <c r="B610" s="15"/>
      <c r="C610" s="15"/>
      <c r="D610" s="15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8"/>
      <c r="B611" s="15"/>
      <c r="C611" s="15"/>
      <c r="D611" s="15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8"/>
      <c r="B612" s="15"/>
      <c r="C612" s="15"/>
      <c r="D612" s="15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8"/>
      <c r="B613" s="15"/>
      <c r="C613" s="15"/>
      <c r="D613" s="15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8"/>
      <c r="B614" s="15"/>
      <c r="C614" s="15"/>
      <c r="D614" s="15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8"/>
      <c r="B615" s="15"/>
      <c r="C615" s="15"/>
      <c r="D615" s="15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8"/>
      <c r="B616" s="15"/>
      <c r="C616" s="15"/>
      <c r="D616" s="15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8"/>
      <c r="B617" s="15"/>
      <c r="C617" s="15"/>
      <c r="D617" s="15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8"/>
      <c r="B618" s="15"/>
      <c r="C618" s="15"/>
      <c r="D618" s="15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8"/>
      <c r="B619" s="15"/>
      <c r="C619" s="15"/>
      <c r="D619" s="15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8"/>
      <c r="B620" s="15"/>
      <c r="C620" s="15"/>
      <c r="D620" s="15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8"/>
      <c r="B621" s="15"/>
      <c r="C621" s="15"/>
      <c r="D621" s="15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8"/>
      <c r="B622" s="15"/>
      <c r="C622" s="15"/>
      <c r="D622" s="15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8"/>
      <c r="B623" s="15"/>
      <c r="C623" s="15"/>
      <c r="D623" s="15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8"/>
      <c r="B624" s="15"/>
      <c r="C624" s="15"/>
      <c r="D624" s="15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8"/>
      <c r="B625" s="15"/>
      <c r="C625" s="15"/>
      <c r="D625" s="15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8"/>
      <c r="B626" s="15"/>
      <c r="C626" s="15"/>
      <c r="D626" s="15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8"/>
      <c r="B627" s="15"/>
      <c r="C627" s="15"/>
      <c r="D627" s="15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8"/>
      <c r="B628" s="15"/>
      <c r="C628" s="15"/>
      <c r="D628" s="15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8"/>
      <c r="B629" s="15"/>
      <c r="C629" s="15"/>
      <c r="D629" s="15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8"/>
      <c r="B630" s="15"/>
      <c r="C630" s="15"/>
      <c r="D630" s="15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8"/>
      <c r="B631" s="15"/>
      <c r="C631" s="15"/>
      <c r="D631" s="15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8"/>
      <c r="B632" s="15"/>
      <c r="C632" s="15"/>
      <c r="D632" s="15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8"/>
      <c r="B633" s="15"/>
      <c r="C633" s="15"/>
      <c r="D633" s="15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8"/>
      <c r="B634" s="15"/>
      <c r="C634" s="15"/>
      <c r="D634" s="15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8"/>
      <c r="B635" s="15"/>
      <c r="C635" s="15"/>
      <c r="D635" s="15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8"/>
      <c r="B636" s="15"/>
      <c r="C636" s="15"/>
      <c r="D636" s="15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8"/>
      <c r="B637" s="15"/>
      <c r="C637" s="15"/>
      <c r="D637" s="15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8"/>
      <c r="B638" s="15"/>
      <c r="C638" s="15"/>
      <c r="D638" s="15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8"/>
      <c r="B639" s="15"/>
      <c r="C639" s="15"/>
      <c r="D639" s="15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8"/>
      <c r="B640" s="15"/>
      <c r="C640" s="15"/>
      <c r="D640" s="15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8"/>
      <c r="B641" s="15"/>
      <c r="C641" s="15"/>
      <c r="D641" s="15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8"/>
      <c r="B642" s="15"/>
      <c r="C642" s="15"/>
      <c r="D642" s="15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8"/>
      <c r="B643" s="15"/>
      <c r="C643" s="15"/>
      <c r="D643" s="15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8"/>
      <c r="B644" s="15"/>
      <c r="C644" s="15"/>
      <c r="D644" s="15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8"/>
      <c r="B645" s="15"/>
      <c r="C645" s="15"/>
      <c r="D645" s="15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8"/>
      <c r="B646" s="15"/>
      <c r="C646" s="15"/>
      <c r="D646" s="15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8"/>
      <c r="B647" s="15"/>
      <c r="C647" s="15"/>
      <c r="D647" s="15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8"/>
      <c r="B648" s="15"/>
      <c r="C648" s="15"/>
      <c r="D648" s="15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8"/>
      <c r="B649" s="15"/>
      <c r="C649" s="15"/>
      <c r="D649" s="15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8"/>
      <c r="B650" s="15"/>
      <c r="C650" s="15"/>
      <c r="D650" s="15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8"/>
      <c r="B651" s="15"/>
      <c r="C651" s="15"/>
      <c r="D651" s="15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8"/>
      <c r="B652" s="15"/>
      <c r="C652" s="15"/>
      <c r="D652" s="15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8"/>
      <c r="B653" s="15"/>
      <c r="C653" s="15"/>
      <c r="D653" s="15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8"/>
      <c r="B654" s="15"/>
      <c r="C654" s="15"/>
      <c r="D654" s="15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8"/>
      <c r="B655" s="15"/>
      <c r="C655" s="15"/>
      <c r="D655" s="15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8"/>
      <c r="B656" s="15"/>
      <c r="C656" s="15"/>
      <c r="D656" s="15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8"/>
      <c r="B657" s="15"/>
      <c r="C657" s="15"/>
      <c r="D657" s="15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8"/>
      <c r="B658" s="15"/>
      <c r="C658" s="15"/>
      <c r="D658" s="15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8"/>
      <c r="B659" s="15"/>
      <c r="C659" s="15"/>
      <c r="D659" s="15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8"/>
      <c r="B660" s="15"/>
      <c r="C660" s="15"/>
      <c r="D660" s="15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8"/>
      <c r="B661" s="15"/>
      <c r="C661" s="15"/>
      <c r="D661" s="15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8"/>
      <c r="B662" s="15"/>
      <c r="C662" s="15"/>
      <c r="D662" s="15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8"/>
      <c r="B663" s="15"/>
      <c r="C663" s="15"/>
      <c r="D663" s="15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8"/>
      <c r="B664" s="15"/>
      <c r="C664" s="15"/>
      <c r="D664" s="15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8"/>
      <c r="B665" s="15"/>
      <c r="C665" s="15"/>
      <c r="D665" s="15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8"/>
      <c r="B666" s="15"/>
      <c r="C666" s="15"/>
      <c r="D666" s="15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8"/>
      <c r="B667" s="15"/>
      <c r="C667" s="15"/>
      <c r="D667" s="15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8"/>
      <c r="B668" s="15"/>
      <c r="C668" s="15"/>
      <c r="D668" s="15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8"/>
      <c r="B669" s="15"/>
      <c r="C669" s="15"/>
      <c r="D669" s="15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8"/>
      <c r="B670" s="15"/>
      <c r="C670" s="15"/>
      <c r="D670" s="15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8"/>
      <c r="B671" s="15"/>
      <c r="C671" s="15"/>
      <c r="D671" s="15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8"/>
      <c r="B672" s="15"/>
      <c r="C672" s="15"/>
      <c r="D672" s="15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8"/>
      <c r="B673" s="15"/>
      <c r="C673" s="15"/>
      <c r="D673" s="15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8"/>
      <c r="B674" s="15"/>
      <c r="C674" s="15"/>
      <c r="D674" s="15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8"/>
      <c r="B675" s="15"/>
      <c r="C675" s="15"/>
      <c r="D675" s="15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8"/>
      <c r="B676" s="15"/>
      <c r="C676" s="15"/>
      <c r="D676" s="15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8"/>
      <c r="B677" s="15"/>
      <c r="C677" s="15"/>
      <c r="D677" s="15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8"/>
      <c r="B678" s="15"/>
      <c r="C678" s="15"/>
      <c r="D678" s="15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8"/>
      <c r="B679" s="15"/>
      <c r="C679" s="15"/>
      <c r="D679" s="15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8"/>
      <c r="B680" s="15"/>
      <c r="C680" s="15"/>
      <c r="D680" s="15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8"/>
      <c r="B681" s="15"/>
      <c r="C681" s="15"/>
      <c r="D681" s="15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8"/>
      <c r="B682" s="15"/>
      <c r="C682" s="15"/>
      <c r="D682" s="15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8"/>
      <c r="B683" s="15"/>
      <c r="C683" s="15"/>
      <c r="D683" s="15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8"/>
      <c r="B684" s="15"/>
      <c r="C684" s="15"/>
      <c r="D684" s="15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8"/>
      <c r="B685" s="15"/>
      <c r="C685" s="15"/>
      <c r="D685" s="15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8"/>
      <c r="B686" s="15"/>
      <c r="C686" s="15"/>
      <c r="D686" s="15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8"/>
      <c r="B687" s="15"/>
      <c r="C687" s="15"/>
      <c r="D687" s="15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8"/>
      <c r="B688" s="15"/>
      <c r="C688" s="15"/>
      <c r="D688" s="15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8"/>
      <c r="B689" s="15"/>
      <c r="C689" s="15"/>
      <c r="D689" s="15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8"/>
      <c r="B690" s="15"/>
      <c r="C690" s="15"/>
      <c r="D690" s="15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8"/>
      <c r="B691" s="15"/>
      <c r="C691" s="15"/>
      <c r="D691" s="15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8"/>
      <c r="B692" s="15"/>
      <c r="C692" s="15"/>
      <c r="D692" s="15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8"/>
      <c r="B693" s="15"/>
      <c r="C693" s="15"/>
      <c r="D693" s="15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8"/>
      <c r="B694" s="15"/>
      <c r="C694" s="15"/>
      <c r="D694" s="15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8"/>
      <c r="B695" s="15"/>
      <c r="C695" s="15"/>
      <c r="D695" s="15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8"/>
      <c r="B696" s="15"/>
      <c r="C696" s="15"/>
      <c r="D696" s="15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8"/>
      <c r="B697" s="15"/>
      <c r="C697" s="15"/>
      <c r="D697" s="15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8"/>
      <c r="B698" s="15"/>
      <c r="C698" s="15"/>
      <c r="D698" s="15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8"/>
      <c r="B699" s="15"/>
      <c r="C699" s="15"/>
      <c r="D699" s="15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8"/>
      <c r="B700" s="15"/>
      <c r="C700" s="15"/>
      <c r="D700" s="15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8"/>
      <c r="B701" s="15"/>
      <c r="C701" s="15"/>
      <c r="D701" s="15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8"/>
      <c r="B702" s="15"/>
      <c r="C702" s="15"/>
      <c r="D702" s="15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8"/>
      <c r="B703" s="15"/>
      <c r="C703" s="15"/>
      <c r="D703" s="15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8"/>
      <c r="B704" s="15"/>
      <c r="C704" s="15"/>
      <c r="D704" s="15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8"/>
      <c r="B705" s="15"/>
      <c r="C705" s="15"/>
      <c r="D705" s="15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8"/>
      <c r="B706" s="15"/>
      <c r="C706" s="15"/>
      <c r="D706" s="15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8"/>
      <c r="B707" s="15"/>
      <c r="C707" s="15"/>
      <c r="D707" s="15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8"/>
      <c r="B708" s="15"/>
      <c r="C708" s="15"/>
      <c r="D708" s="15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8"/>
      <c r="B709" s="15"/>
      <c r="C709" s="15"/>
      <c r="D709" s="15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8"/>
      <c r="B710" s="15"/>
      <c r="C710" s="15"/>
      <c r="D710" s="15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8"/>
      <c r="B711" s="15"/>
      <c r="C711" s="15"/>
      <c r="D711" s="15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8"/>
      <c r="B712" s="15"/>
      <c r="C712" s="15"/>
      <c r="D712" s="15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8"/>
      <c r="B713" s="15"/>
      <c r="C713" s="15"/>
      <c r="D713" s="15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8"/>
      <c r="B714" s="15"/>
      <c r="C714" s="15"/>
      <c r="D714" s="15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8"/>
      <c r="B715" s="15"/>
      <c r="C715" s="15"/>
      <c r="D715" s="15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8"/>
      <c r="B716" s="15"/>
      <c r="C716" s="15"/>
      <c r="D716" s="15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8"/>
      <c r="B717" s="15"/>
      <c r="C717" s="15"/>
      <c r="D717" s="15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8"/>
      <c r="B718" s="15"/>
      <c r="C718" s="15"/>
      <c r="D718" s="15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8"/>
      <c r="B719" s="15"/>
      <c r="C719" s="15"/>
      <c r="D719" s="15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8"/>
      <c r="B720" s="15"/>
      <c r="C720" s="15"/>
      <c r="D720" s="15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8"/>
      <c r="B721" s="15"/>
      <c r="C721" s="15"/>
      <c r="D721" s="15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8"/>
      <c r="B722" s="15"/>
      <c r="C722" s="15"/>
      <c r="D722" s="15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8"/>
      <c r="B723" s="15"/>
      <c r="C723" s="15"/>
      <c r="D723" s="15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8"/>
      <c r="B724" s="15"/>
      <c r="C724" s="15"/>
      <c r="D724" s="15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8"/>
      <c r="B725" s="15"/>
      <c r="C725" s="15"/>
      <c r="D725" s="15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8"/>
      <c r="B726" s="15"/>
      <c r="C726" s="15"/>
      <c r="D726" s="15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8"/>
      <c r="B727" s="15"/>
      <c r="C727" s="15"/>
      <c r="D727" s="15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8"/>
      <c r="B728" s="15"/>
      <c r="C728" s="15"/>
      <c r="D728" s="15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8"/>
      <c r="B729" s="15"/>
      <c r="C729" s="15"/>
      <c r="D729" s="15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8"/>
      <c r="B730" s="15"/>
      <c r="C730" s="15"/>
      <c r="D730" s="15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8"/>
      <c r="B731" s="15"/>
      <c r="C731" s="15"/>
      <c r="D731" s="15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8"/>
      <c r="B732" s="15"/>
      <c r="C732" s="15"/>
      <c r="D732" s="15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8"/>
      <c r="B733" s="15"/>
      <c r="C733" s="15"/>
      <c r="D733" s="15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8"/>
      <c r="B734" s="15"/>
      <c r="C734" s="15"/>
      <c r="D734" s="15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8"/>
      <c r="B735" s="15"/>
      <c r="C735" s="15"/>
      <c r="D735" s="15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8"/>
      <c r="B736" s="15"/>
      <c r="C736" s="15"/>
      <c r="D736" s="15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8"/>
      <c r="B737" s="15"/>
      <c r="C737" s="15"/>
      <c r="D737" s="15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8"/>
      <c r="B738" s="15"/>
      <c r="C738" s="15"/>
      <c r="D738" s="15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8"/>
      <c r="B739" s="15"/>
      <c r="C739" s="15"/>
      <c r="D739" s="15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8"/>
      <c r="B740" s="15"/>
      <c r="C740" s="15"/>
      <c r="D740" s="15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8"/>
      <c r="B741" s="15"/>
      <c r="C741" s="15"/>
      <c r="D741" s="15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8"/>
      <c r="B742" s="15"/>
      <c r="C742" s="15"/>
      <c r="D742" s="15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8"/>
      <c r="B743" s="15"/>
      <c r="C743" s="15"/>
      <c r="D743" s="15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8"/>
      <c r="B744" s="15"/>
      <c r="C744" s="15"/>
      <c r="D744" s="15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8"/>
      <c r="B745" s="15"/>
      <c r="C745" s="15"/>
      <c r="D745" s="15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8"/>
      <c r="B746" s="15"/>
      <c r="C746" s="15"/>
      <c r="D746" s="15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8"/>
      <c r="B747" s="15"/>
      <c r="C747" s="15"/>
      <c r="D747" s="15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8"/>
      <c r="B748" s="15"/>
      <c r="C748" s="15"/>
      <c r="D748" s="15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8"/>
      <c r="B749" s="15"/>
      <c r="C749" s="15"/>
      <c r="D749" s="15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8"/>
      <c r="B750" s="15"/>
      <c r="C750" s="15"/>
      <c r="D750" s="15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8"/>
      <c r="B751" s="15"/>
      <c r="C751" s="15"/>
      <c r="D751" s="15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8"/>
      <c r="B752" s="15"/>
      <c r="C752" s="15"/>
      <c r="D752" s="15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8"/>
      <c r="B753" s="15"/>
      <c r="C753" s="15"/>
      <c r="D753" s="15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8"/>
      <c r="B754" s="15"/>
      <c r="C754" s="15"/>
      <c r="D754" s="15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8"/>
      <c r="B755" s="15"/>
      <c r="C755" s="15"/>
      <c r="D755" s="15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8"/>
      <c r="B756" s="15"/>
      <c r="C756" s="15"/>
      <c r="D756" s="15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8"/>
      <c r="B757" s="15"/>
      <c r="C757" s="15"/>
      <c r="D757" s="15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8"/>
      <c r="B758" s="15"/>
      <c r="C758" s="15"/>
      <c r="D758" s="15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8"/>
      <c r="B759" s="15"/>
      <c r="C759" s="15"/>
      <c r="D759" s="15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8"/>
      <c r="B760" s="15"/>
      <c r="C760" s="15"/>
      <c r="D760" s="15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8"/>
      <c r="B761" s="15"/>
      <c r="C761" s="15"/>
      <c r="D761" s="15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8"/>
      <c r="B762" s="15"/>
      <c r="C762" s="15"/>
      <c r="D762" s="15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8"/>
      <c r="B763" s="15"/>
      <c r="C763" s="15"/>
      <c r="D763" s="15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8"/>
      <c r="B764" s="15"/>
      <c r="C764" s="15"/>
      <c r="D764" s="15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8"/>
      <c r="B765" s="15"/>
      <c r="C765" s="15"/>
      <c r="D765" s="15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8"/>
      <c r="B766" s="15"/>
      <c r="C766" s="15"/>
      <c r="D766" s="15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8"/>
      <c r="B767" s="15"/>
      <c r="C767" s="15"/>
      <c r="D767" s="15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8"/>
      <c r="B768" s="15"/>
      <c r="C768" s="15"/>
      <c r="D768" s="15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8"/>
      <c r="B769" s="15"/>
      <c r="C769" s="15"/>
      <c r="D769" s="15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8"/>
      <c r="B770" s="15"/>
      <c r="C770" s="15"/>
      <c r="D770" s="15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8"/>
      <c r="B771" s="15"/>
      <c r="C771" s="15"/>
      <c r="D771" s="15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8"/>
      <c r="B772" s="15"/>
      <c r="C772" s="15"/>
      <c r="D772" s="15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8"/>
      <c r="B773" s="15"/>
      <c r="C773" s="15"/>
      <c r="D773" s="15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8"/>
      <c r="B774" s="15"/>
      <c r="C774" s="15"/>
      <c r="D774" s="15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8"/>
      <c r="B775" s="15"/>
      <c r="C775" s="15"/>
      <c r="D775" s="15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8"/>
      <c r="B776" s="15"/>
      <c r="C776" s="15"/>
      <c r="D776" s="15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8"/>
      <c r="B777" s="15"/>
      <c r="C777" s="15"/>
      <c r="D777" s="15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8"/>
      <c r="B778" s="15"/>
      <c r="C778" s="15"/>
      <c r="D778" s="15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8"/>
      <c r="B779" s="15"/>
      <c r="C779" s="15"/>
      <c r="D779" s="15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8"/>
      <c r="B780" s="15"/>
      <c r="C780" s="15"/>
      <c r="D780" s="15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8"/>
      <c r="B781" s="15"/>
      <c r="C781" s="15"/>
      <c r="D781" s="15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8"/>
      <c r="B782" s="15"/>
      <c r="C782" s="15"/>
      <c r="D782" s="15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8"/>
      <c r="B783" s="15"/>
      <c r="C783" s="15"/>
      <c r="D783" s="15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8"/>
      <c r="B784" s="15"/>
      <c r="C784" s="15"/>
      <c r="D784" s="15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8"/>
      <c r="B785" s="15"/>
      <c r="C785" s="15"/>
      <c r="D785" s="15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8"/>
      <c r="B786" s="15"/>
      <c r="C786" s="15"/>
      <c r="D786" s="15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8"/>
      <c r="B787" s="15"/>
      <c r="C787" s="15"/>
      <c r="D787" s="15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8"/>
      <c r="B788" s="15"/>
      <c r="C788" s="15"/>
      <c r="D788" s="15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8"/>
      <c r="B789" s="15"/>
      <c r="C789" s="15"/>
      <c r="D789" s="15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8"/>
      <c r="B790" s="15"/>
      <c r="C790" s="15"/>
      <c r="D790" s="15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8"/>
      <c r="B791" s="15"/>
      <c r="C791" s="15"/>
      <c r="D791" s="15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8"/>
      <c r="B792" s="15"/>
      <c r="C792" s="15"/>
      <c r="D792" s="15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8"/>
      <c r="B793" s="15"/>
      <c r="C793" s="15"/>
      <c r="D793" s="15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8"/>
      <c r="B794" s="15"/>
      <c r="C794" s="15"/>
      <c r="D794" s="15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8"/>
      <c r="B795" s="15"/>
      <c r="C795" s="15"/>
      <c r="D795" s="15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8"/>
      <c r="B796" s="15"/>
      <c r="C796" s="15"/>
      <c r="D796" s="15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8"/>
      <c r="B797" s="15"/>
      <c r="C797" s="15"/>
      <c r="D797" s="15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8"/>
      <c r="B798" s="15"/>
      <c r="C798" s="15"/>
      <c r="D798" s="15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8"/>
      <c r="B799" s="15"/>
      <c r="C799" s="15"/>
      <c r="D799" s="15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8"/>
      <c r="B800" s="15"/>
      <c r="C800" s="15"/>
      <c r="D800" s="15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8"/>
      <c r="B801" s="15"/>
      <c r="C801" s="15"/>
      <c r="D801" s="15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8"/>
      <c r="B802" s="15"/>
      <c r="C802" s="15"/>
      <c r="D802" s="15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8"/>
      <c r="B803" s="15"/>
      <c r="C803" s="15"/>
      <c r="D803" s="15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8"/>
      <c r="B804" s="15"/>
      <c r="C804" s="15"/>
      <c r="D804" s="15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8"/>
      <c r="B805" s="15"/>
      <c r="C805" s="15"/>
      <c r="D805" s="15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8"/>
      <c r="B806" s="15"/>
      <c r="C806" s="15"/>
      <c r="D806" s="15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8"/>
      <c r="B807" s="15"/>
      <c r="C807" s="15"/>
      <c r="D807" s="15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8"/>
      <c r="B808" s="15"/>
      <c r="C808" s="15"/>
      <c r="D808" s="15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8"/>
      <c r="B809" s="15"/>
      <c r="C809" s="15"/>
      <c r="D809" s="15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8"/>
      <c r="B810" s="15"/>
      <c r="C810" s="15"/>
      <c r="D810" s="15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8"/>
      <c r="B811" s="15"/>
      <c r="C811" s="15"/>
      <c r="D811" s="15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8"/>
      <c r="B812" s="15"/>
      <c r="C812" s="15"/>
      <c r="D812" s="15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8"/>
      <c r="B813" s="15"/>
      <c r="C813" s="15"/>
      <c r="D813" s="15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8"/>
      <c r="B814" s="15"/>
      <c r="C814" s="15"/>
      <c r="D814" s="15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8"/>
      <c r="B815" s="15"/>
      <c r="C815" s="15"/>
      <c r="D815" s="15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8"/>
      <c r="B816" s="15"/>
      <c r="C816" s="15"/>
      <c r="D816" s="15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8"/>
      <c r="B817" s="15"/>
      <c r="C817" s="15"/>
      <c r="D817" s="15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8"/>
      <c r="B818" s="15"/>
      <c r="C818" s="15"/>
      <c r="D818" s="15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8"/>
      <c r="B819" s="15"/>
      <c r="C819" s="15"/>
      <c r="D819" s="15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8"/>
      <c r="B820" s="15"/>
      <c r="C820" s="15"/>
      <c r="D820" s="15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8"/>
      <c r="B821" s="15"/>
      <c r="C821" s="15"/>
      <c r="D821" s="15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8"/>
      <c r="B822" s="15"/>
      <c r="C822" s="15"/>
      <c r="D822" s="15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8"/>
      <c r="B823" s="15"/>
      <c r="C823" s="15"/>
      <c r="D823" s="15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8"/>
      <c r="B824" s="15"/>
      <c r="C824" s="15"/>
      <c r="D824" s="15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8"/>
      <c r="B825" s="15"/>
      <c r="C825" s="15"/>
      <c r="D825" s="15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8"/>
      <c r="B826" s="15"/>
      <c r="C826" s="15"/>
      <c r="D826" s="15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8"/>
      <c r="B827" s="15"/>
      <c r="C827" s="15"/>
      <c r="D827" s="15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8"/>
      <c r="B828" s="15"/>
      <c r="C828" s="15"/>
      <c r="D828" s="15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8"/>
      <c r="B829" s="15"/>
      <c r="C829" s="15"/>
      <c r="D829" s="15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8"/>
      <c r="B830" s="15"/>
      <c r="C830" s="15"/>
      <c r="D830" s="15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8"/>
      <c r="B831" s="15"/>
      <c r="C831" s="15"/>
      <c r="D831" s="15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8"/>
      <c r="B832" s="15"/>
      <c r="C832" s="15"/>
      <c r="D832" s="15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8"/>
      <c r="B833" s="15"/>
      <c r="C833" s="15"/>
      <c r="D833" s="15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8"/>
      <c r="B834" s="15"/>
      <c r="C834" s="15"/>
      <c r="D834" s="15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8"/>
      <c r="B835" s="15"/>
      <c r="C835" s="15"/>
      <c r="D835" s="15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8"/>
      <c r="B836" s="15"/>
      <c r="C836" s="15"/>
      <c r="D836" s="15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8"/>
      <c r="B837" s="15"/>
      <c r="C837" s="15"/>
      <c r="D837" s="15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8"/>
      <c r="B838" s="15"/>
      <c r="C838" s="15"/>
      <c r="D838" s="15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8"/>
      <c r="B839" s="15"/>
      <c r="C839" s="15"/>
      <c r="D839" s="15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8"/>
      <c r="B840" s="15"/>
      <c r="C840" s="15"/>
      <c r="D840" s="15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8"/>
      <c r="B841" s="15"/>
      <c r="C841" s="15"/>
      <c r="D841" s="15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8"/>
      <c r="B842" s="15"/>
      <c r="C842" s="15"/>
      <c r="D842" s="15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8"/>
      <c r="B843" s="15"/>
      <c r="C843" s="15"/>
      <c r="D843" s="15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8"/>
      <c r="B844" s="15"/>
      <c r="C844" s="15"/>
      <c r="D844" s="15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8"/>
      <c r="B845" s="15"/>
      <c r="C845" s="15"/>
      <c r="D845" s="15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8"/>
      <c r="B846" s="15"/>
      <c r="C846" s="15"/>
      <c r="D846" s="15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8"/>
      <c r="B847" s="15"/>
      <c r="C847" s="15"/>
      <c r="D847" s="15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8"/>
      <c r="B848" s="15"/>
      <c r="C848" s="15"/>
      <c r="D848" s="15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8"/>
      <c r="B849" s="15"/>
      <c r="C849" s="15"/>
      <c r="D849" s="15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8"/>
      <c r="B850" s="15"/>
      <c r="C850" s="15"/>
      <c r="D850" s="15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8"/>
      <c r="B851" s="15"/>
      <c r="C851" s="15"/>
      <c r="D851" s="15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8"/>
      <c r="B852" s="15"/>
      <c r="C852" s="15"/>
      <c r="D852" s="15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8"/>
      <c r="B853" s="15"/>
      <c r="C853" s="15"/>
      <c r="D853" s="15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8"/>
      <c r="B854" s="15"/>
      <c r="C854" s="15"/>
      <c r="D854" s="15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8"/>
      <c r="B855" s="15"/>
      <c r="C855" s="15"/>
      <c r="D855" s="15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8"/>
      <c r="B856" s="15"/>
      <c r="C856" s="15"/>
      <c r="D856" s="15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8"/>
      <c r="B857" s="15"/>
      <c r="C857" s="15"/>
      <c r="D857" s="15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8"/>
      <c r="B858" s="15"/>
      <c r="C858" s="15"/>
      <c r="D858" s="15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8"/>
      <c r="B859" s="15"/>
      <c r="C859" s="15"/>
      <c r="D859" s="15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8"/>
      <c r="B860" s="15"/>
      <c r="C860" s="15"/>
      <c r="D860" s="15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8"/>
      <c r="B861" s="15"/>
      <c r="C861" s="15"/>
      <c r="D861" s="15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8"/>
      <c r="B862" s="15"/>
      <c r="C862" s="15"/>
      <c r="D862" s="15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8"/>
      <c r="B863" s="15"/>
      <c r="C863" s="15"/>
      <c r="D863" s="15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8"/>
      <c r="B864" s="15"/>
      <c r="C864" s="15"/>
      <c r="D864" s="15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8"/>
      <c r="B865" s="15"/>
      <c r="C865" s="15"/>
      <c r="D865" s="15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8"/>
      <c r="B866" s="15"/>
      <c r="C866" s="15"/>
      <c r="D866" s="15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8"/>
      <c r="B867" s="15"/>
      <c r="C867" s="15"/>
      <c r="D867" s="15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8"/>
      <c r="B868" s="15"/>
      <c r="C868" s="15"/>
      <c r="D868" s="15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8"/>
      <c r="B869" s="15"/>
      <c r="C869" s="15"/>
      <c r="D869" s="15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8"/>
      <c r="B870" s="15"/>
      <c r="C870" s="15"/>
      <c r="D870" s="15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8"/>
      <c r="B871" s="15"/>
      <c r="C871" s="15"/>
      <c r="D871" s="15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8"/>
      <c r="B872" s="15"/>
      <c r="C872" s="15"/>
      <c r="D872" s="15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8"/>
      <c r="B873" s="15"/>
      <c r="C873" s="15"/>
      <c r="D873" s="15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8"/>
      <c r="B874" s="15"/>
      <c r="C874" s="15"/>
      <c r="D874" s="15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8"/>
      <c r="B875" s="15"/>
      <c r="C875" s="15"/>
      <c r="D875" s="15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8"/>
      <c r="B876" s="15"/>
      <c r="C876" s="15"/>
      <c r="D876" s="15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8"/>
      <c r="B877" s="15"/>
      <c r="C877" s="15"/>
      <c r="D877" s="15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8"/>
      <c r="B878" s="15"/>
      <c r="C878" s="15"/>
      <c r="D878" s="15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8"/>
      <c r="B879" s="15"/>
      <c r="C879" s="15"/>
      <c r="D879" s="15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8"/>
      <c r="B880" s="15"/>
      <c r="C880" s="15"/>
      <c r="D880" s="15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8"/>
      <c r="B881" s="15"/>
      <c r="C881" s="15"/>
      <c r="D881" s="15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8"/>
      <c r="B882" s="15"/>
      <c r="C882" s="15"/>
      <c r="D882" s="15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8"/>
      <c r="B883" s="15"/>
      <c r="C883" s="15"/>
      <c r="D883" s="15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8"/>
      <c r="B884" s="15"/>
      <c r="C884" s="15"/>
      <c r="D884" s="15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8"/>
      <c r="B885" s="15"/>
      <c r="C885" s="15"/>
      <c r="D885" s="15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8"/>
      <c r="B886" s="15"/>
      <c r="C886" s="15"/>
      <c r="D886" s="15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8"/>
      <c r="B887" s="15"/>
      <c r="C887" s="15"/>
      <c r="D887" s="15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8"/>
      <c r="B888" s="15"/>
      <c r="C888" s="15"/>
      <c r="D888" s="15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8"/>
      <c r="B889" s="15"/>
      <c r="C889" s="15"/>
      <c r="D889" s="15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8"/>
      <c r="B890" s="15"/>
      <c r="C890" s="15"/>
      <c r="D890" s="15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8"/>
      <c r="B891" s="15"/>
      <c r="C891" s="15"/>
      <c r="D891" s="15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8"/>
      <c r="B892" s="15"/>
      <c r="C892" s="15"/>
      <c r="D892" s="15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8"/>
      <c r="B893" s="15"/>
      <c r="C893" s="15"/>
      <c r="D893" s="15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8"/>
      <c r="B894" s="15"/>
      <c r="C894" s="15"/>
      <c r="D894" s="15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8"/>
      <c r="B895" s="15"/>
      <c r="C895" s="15"/>
      <c r="D895" s="15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8"/>
      <c r="B896" s="15"/>
      <c r="C896" s="15"/>
      <c r="D896" s="15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8"/>
      <c r="B897" s="15"/>
      <c r="C897" s="15"/>
      <c r="D897" s="15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8"/>
      <c r="B898" s="15"/>
      <c r="C898" s="15"/>
      <c r="D898" s="15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8"/>
      <c r="B899" s="15"/>
      <c r="C899" s="15"/>
      <c r="D899" s="15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8"/>
      <c r="B900" s="15"/>
      <c r="C900" s="15"/>
      <c r="D900" s="15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8"/>
      <c r="B901" s="15"/>
      <c r="C901" s="15"/>
      <c r="D901" s="15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8"/>
      <c r="B902" s="15"/>
      <c r="C902" s="15"/>
      <c r="D902" s="15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8"/>
      <c r="B903" s="15"/>
      <c r="C903" s="15"/>
      <c r="D903" s="15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8"/>
      <c r="B904" s="15"/>
      <c r="C904" s="15"/>
      <c r="D904" s="15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8"/>
      <c r="B905" s="15"/>
      <c r="C905" s="15"/>
      <c r="D905" s="15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8"/>
      <c r="B906" s="15"/>
      <c r="C906" s="15"/>
      <c r="D906" s="15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8"/>
      <c r="B907" s="15"/>
      <c r="C907" s="15"/>
      <c r="D907" s="15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8"/>
      <c r="B908" s="15"/>
      <c r="C908" s="15"/>
      <c r="D908" s="15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8"/>
      <c r="B909" s="15"/>
      <c r="C909" s="15"/>
      <c r="D909" s="15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8"/>
      <c r="B910" s="15"/>
      <c r="C910" s="15"/>
      <c r="D910" s="15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8"/>
      <c r="B911" s="15"/>
      <c r="C911" s="15"/>
      <c r="D911" s="15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8"/>
      <c r="B912" s="15"/>
      <c r="C912" s="15"/>
      <c r="D912" s="15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8"/>
      <c r="B913" s="15"/>
      <c r="C913" s="15"/>
      <c r="D913" s="15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8"/>
      <c r="B914" s="15"/>
      <c r="C914" s="15"/>
      <c r="D914" s="15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8"/>
      <c r="B915" s="15"/>
      <c r="C915" s="15"/>
      <c r="D915" s="15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8"/>
      <c r="B916" s="15"/>
      <c r="C916" s="15"/>
      <c r="D916" s="15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8"/>
      <c r="B917" s="15"/>
      <c r="C917" s="15"/>
      <c r="D917" s="15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8"/>
      <c r="B918" s="15"/>
      <c r="C918" s="15"/>
      <c r="D918" s="15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8"/>
      <c r="B919" s="15"/>
      <c r="C919" s="15"/>
      <c r="D919" s="15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8"/>
      <c r="B920" s="15"/>
      <c r="C920" s="15"/>
      <c r="D920" s="15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8"/>
      <c r="B921" s="15"/>
      <c r="C921" s="15"/>
      <c r="D921" s="15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8"/>
      <c r="B922" s="15"/>
      <c r="C922" s="15"/>
      <c r="D922" s="15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8"/>
      <c r="B923" s="15"/>
      <c r="C923" s="15"/>
      <c r="D923" s="15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8"/>
      <c r="B924" s="15"/>
      <c r="C924" s="15"/>
      <c r="D924" s="15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8"/>
      <c r="B925" s="15"/>
      <c r="C925" s="15"/>
      <c r="D925" s="15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8"/>
      <c r="B926" s="15"/>
      <c r="C926" s="15"/>
      <c r="D926" s="15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8"/>
      <c r="B927" s="15"/>
      <c r="C927" s="15"/>
      <c r="D927" s="15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8"/>
      <c r="B928" s="15"/>
      <c r="C928" s="15"/>
      <c r="D928" s="15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8"/>
      <c r="B929" s="15"/>
      <c r="C929" s="15"/>
      <c r="D929" s="15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8"/>
      <c r="B930" s="15"/>
      <c r="C930" s="15"/>
      <c r="D930" s="15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8"/>
      <c r="B931" s="15"/>
      <c r="C931" s="15"/>
      <c r="D931" s="15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8"/>
      <c r="B932" s="15"/>
      <c r="C932" s="15"/>
      <c r="D932" s="15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8"/>
      <c r="B933" s="15"/>
      <c r="C933" s="15"/>
      <c r="D933" s="15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8"/>
      <c r="B934" s="15"/>
      <c r="C934" s="15"/>
      <c r="D934" s="15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8"/>
      <c r="B935" s="15"/>
      <c r="C935" s="15"/>
      <c r="D935" s="15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8"/>
      <c r="B936" s="15"/>
      <c r="C936" s="15"/>
      <c r="D936" s="15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8"/>
      <c r="B937" s="15"/>
      <c r="C937" s="15"/>
      <c r="D937" s="15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8"/>
      <c r="B938" s="15"/>
      <c r="C938" s="15"/>
      <c r="D938" s="15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8"/>
      <c r="B939" s="15"/>
      <c r="C939" s="15"/>
      <c r="D939" s="15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8"/>
      <c r="B940" s="15"/>
      <c r="C940" s="15"/>
      <c r="D940" s="15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8"/>
      <c r="B941" s="15"/>
      <c r="C941" s="15"/>
      <c r="D941" s="15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8"/>
      <c r="B942" s="15"/>
      <c r="C942" s="15"/>
      <c r="D942" s="15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8"/>
      <c r="B943" s="15"/>
      <c r="C943" s="15"/>
      <c r="D943" s="15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8"/>
      <c r="B944" s="15"/>
      <c r="C944" s="15"/>
      <c r="D944" s="15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8"/>
      <c r="B945" s="15"/>
      <c r="C945" s="15"/>
      <c r="D945" s="15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8"/>
      <c r="B946" s="15"/>
      <c r="C946" s="15"/>
      <c r="D946" s="15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8"/>
      <c r="B947" s="15"/>
      <c r="C947" s="15"/>
      <c r="D947" s="15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8"/>
      <c r="B948" s="15"/>
      <c r="C948" s="15"/>
      <c r="D948" s="15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8"/>
      <c r="B949" s="15"/>
      <c r="C949" s="15"/>
      <c r="D949" s="15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8"/>
      <c r="B950" s="15"/>
      <c r="C950" s="15"/>
      <c r="D950" s="15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8"/>
      <c r="B951" s="15"/>
      <c r="C951" s="15"/>
      <c r="D951" s="15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8"/>
      <c r="B952" s="15"/>
      <c r="C952" s="15"/>
      <c r="D952" s="15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8"/>
      <c r="B953" s="15"/>
      <c r="C953" s="15"/>
      <c r="D953" s="15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8"/>
      <c r="B954" s="15"/>
      <c r="C954" s="15"/>
      <c r="D954" s="15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8"/>
      <c r="B955" s="15"/>
      <c r="C955" s="15"/>
      <c r="D955" s="15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8"/>
      <c r="B956" s="15"/>
      <c r="C956" s="15"/>
      <c r="D956" s="15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8"/>
      <c r="B957" s="15"/>
      <c r="C957" s="15"/>
      <c r="D957" s="15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8"/>
      <c r="B958" s="15"/>
      <c r="C958" s="15"/>
      <c r="D958" s="15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8"/>
      <c r="B959" s="15"/>
      <c r="C959" s="15"/>
      <c r="D959" s="15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8"/>
      <c r="B960" s="15"/>
      <c r="C960" s="15"/>
      <c r="D960" s="15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8"/>
      <c r="B961" s="15"/>
      <c r="C961" s="15"/>
      <c r="D961" s="15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8"/>
      <c r="B962" s="15"/>
      <c r="C962" s="15"/>
      <c r="D962" s="15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8"/>
      <c r="B963" s="15"/>
      <c r="C963" s="15"/>
      <c r="D963" s="15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8"/>
      <c r="B964" s="15"/>
      <c r="C964" s="15"/>
      <c r="D964" s="15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8"/>
      <c r="B965" s="15"/>
      <c r="C965" s="15"/>
      <c r="D965" s="15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8"/>
      <c r="B966" s="15"/>
      <c r="C966" s="15"/>
      <c r="D966" s="15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8"/>
      <c r="B967" s="15"/>
      <c r="C967" s="15"/>
      <c r="D967" s="15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8"/>
      <c r="B968" s="15"/>
      <c r="C968" s="15"/>
      <c r="D968" s="15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8"/>
      <c r="B969" s="15"/>
      <c r="C969" s="15"/>
      <c r="D969" s="15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8"/>
      <c r="B970" s="15"/>
      <c r="C970" s="15"/>
      <c r="D970" s="15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8"/>
      <c r="B971" s="15"/>
      <c r="C971" s="15"/>
      <c r="D971" s="15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8"/>
      <c r="B972" s="15"/>
      <c r="C972" s="15"/>
      <c r="D972" s="15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8"/>
      <c r="B973" s="15"/>
      <c r="C973" s="15"/>
      <c r="D973" s="15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8"/>
      <c r="B974" s="15"/>
      <c r="C974" s="15"/>
      <c r="D974" s="15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8"/>
      <c r="B975" s="15"/>
      <c r="C975" s="15"/>
      <c r="D975" s="15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8"/>
      <c r="B976" s="15"/>
      <c r="C976" s="15"/>
      <c r="D976" s="15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8"/>
      <c r="B977" s="15"/>
      <c r="C977" s="15"/>
      <c r="D977" s="15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8"/>
      <c r="B978" s="15"/>
      <c r="C978" s="15"/>
      <c r="D978" s="15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8"/>
      <c r="B979" s="15"/>
      <c r="C979" s="15"/>
      <c r="D979" s="15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8"/>
      <c r="B980" s="15"/>
      <c r="C980" s="15"/>
      <c r="D980" s="15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8"/>
      <c r="B981" s="15"/>
      <c r="C981" s="15"/>
      <c r="D981" s="15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8"/>
      <c r="B982" s="15"/>
      <c r="C982" s="15"/>
      <c r="D982" s="15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8"/>
      <c r="B983" s="15"/>
      <c r="C983" s="15"/>
      <c r="D983" s="15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8"/>
      <c r="B984" s="15"/>
      <c r="C984" s="15"/>
      <c r="D984" s="15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8"/>
      <c r="B985" s="15"/>
      <c r="C985" s="15"/>
      <c r="D985" s="15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8"/>
      <c r="B986" s="15"/>
      <c r="C986" s="15"/>
      <c r="D986" s="15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8"/>
      <c r="B987" s="15"/>
      <c r="C987" s="15"/>
      <c r="D987" s="15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8"/>
      <c r="B988" s="15"/>
      <c r="C988" s="15"/>
      <c r="D988" s="15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8"/>
      <c r="B989" s="15"/>
      <c r="C989" s="15"/>
      <c r="D989" s="15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8"/>
      <c r="B990" s="15"/>
      <c r="C990" s="15"/>
      <c r="D990" s="15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8"/>
      <c r="B991" s="15"/>
      <c r="C991" s="15"/>
      <c r="D991" s="15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8"/>
      <c r="B992" s="15"/>
      <c r="C992" s="15"/>
      <c r="D992" s="15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8"/>
      <c r="B993" s="15"/>
      <c r="C993" s="15"/>
      <c r="D993" s="15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8"/>
      <c r="B994" s="15"/>
      <c r="C994" s="15"/>
      <c r="D994" s="15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8"/>
      <c r="B995" s="15"/>
      <c r="C995" s="15"/>
      <c r="D995" s="15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8"/>
      <c r="B996" s="15"/>
      <c r="C996" s="15"/>
      <c r="D996" s="15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8"/>
      <c r="B997" s="15"/>
      <c r="C997" s="15"/>
      <c r="D997" s="15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8"/>
      <c r="B998" s="15"/>
      <c r="C998" s="15"/>
      <c r="D998" s="15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8"/>
      <c r="B999" s="15"/>
      <c r="C999" s="15"/>
      <c r="D999" s="15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8"/>
      <c r="B1000" s="15"/>
      <c r="C1000" s="15"/>
      <c r="D1000" s="15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8"/>
      <c r="B1001" s="15"/>
      <c r="C1001" s="15"/>
      <c r="D1001" s="15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8"/>
      <c r="B1002" s="15"/>
      <c r="C1002" s="15"/>
      <c r="D1002" s="15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8"/>
      <c r="B1003" s="15"/>
      <c r="C1003" s="15"/>
      <c r="D1003" s="15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8"/>
      <c r="B1004" s="15"/>
      <c r="C1004" s="15"/>
      <c r="D1004" s="15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8"/>
      <c r="B1005" s="15"/>
      <c r="C1005" s="15"/>
      <c r="D1005" s="15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8"/>
      <c r="B1006" s="15"/>
      <c r="C1006" s="15"/>
      <c r="D1006" s="15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18"/>
      <c r="B1007" s="15"/>
      <c r="C1007" s="15"/>
      <c r="D1007" s="15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>
      <c r="A1008" s="18"/>
      <c r="B1008" s="15"/>
      <c r="C1008" s="15"/>
      <c r="D1008" s="15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>
      <c r="A1009" s="18"/>
      <c r="B1009" s="15"/>
      <c r="C1009" s="15"/>
      <c r="D1009" s="15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>
      <c r="A1010" s="18"/>
      <c r="B1010" s="15"/>
      <c r="C1010" s="15"/>
      <c r="D1010" s="15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>
      <c r="A1011" s="18"/>
      <c r="B1011" s="15"/>
      <c r="C1011" s="15"/>
      <c r="D1011" s="15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>
      <c r="A1012" s="18"/>
      <c r="B1012" s="15"/>
      <c r="C1012" s="15"/>
      <c r="D1012" s="15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>
      <c r="A1013" s="18"/>
      <c r="B1013" s="15"/>
      <c r="C1013" s="15"/>
      <c r="D1013" s="15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>
      <c r="A1014" s="18"/>
      <c r="B1014" s="15"/>
      <c r="C1014" s="15"/>
      <c r="D1014" s="15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>
      <c r="A1015" s="18"/>
      <c r="B1015" s="15"/>
      <c r="C1015" s="15"/>
      <c r="D1015" s="15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>
      <c r="A1016" s="18"/>
      <c r="B1016" s="15"/>
      <c r="C1016" s="15"/>
      <c r="D1016" s="15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>
      <c r="A1017" s="18"/>
      <c r="B1017" s="15"/>
      <c r="C1017" s="15"/>
      <c r="D1017" s="15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>
      <c r="A1018" s="18"/>
      <c r="B1018" s="15"/>
      <c r="C1018" s="15"/>
      <c r="D1018" s="15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>
      <c r="A1019" s="18"/>
      <c r="B1019" s="15"/>
      <c r="C1019" s="15"/>
      <c r="D1019" s="15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>
      <c r="A1020" s="18"/>
      <c r="B1020" s="15"/>
      <c r="C1020" s="15"/>
      <c r="D1020" s="15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>
      <c r="A1021" s="18"/>
      <c r="B1021" s="15"/>
      <c r="C1021" s="15"/>
      <c r="D1021" s="15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>
      <c r="A1022" s="18"/>
      <c r="B1022" s="15"/>
      <c r="C1022" s="15"/>
      <c r="D1022" s="15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</sheetData>
  <mergeCells count="69">
    <mergeCell ref="B40:D44"/>
    <mergeCell ref="B45:D45"/>
    <mergeCell ref="B51:D64"/>
    <mergeCell ref="B65:B66"/>
    <mergeCell ref="C65:D65"/>
    <mergeCell ref="C66:D66"/>
    <mergeCell ref="B68:B69"/>
    <mergeCell ref="B67:D67"/>
    <mergeCell ref="C68:D68"/>
    <mergeCell ref="Y114:Z114"/>
    <mergeCell ref="O119:P119"/>
    <mergeCell ref="O120:P120"/>
    <mergeCell ref="O121:P121"/>
    <mergeCell ref="O122:P122"/>
    <mergeCell ref="O130:P130"/>
    <mergeCell ref="O131:P131"/>
    <mergeCell ref="O132:P132"/>
    <mergeCell ref="O133:P133"/>
    <mergeCell ref="O123:P123"/>
    <mergeCell ref="O124:P124"/>
    <mergeCell ref="O125:P125"/>
    <mergeCell ref="O126:P126"/>
    <mergeCell ref="O127:P127"/>
    <mergeCell ref="O128:P128"/>
    <mergeCell ref="O129:P129"/>
    <mergeCell ref="B8:D8"/>
    <mergeCell ref="B9:D9"/>
    <mergeCell ref="A2:A9"/>
    <mergeCell ref="B2:D2"/>
    <mergeCell ref="B3:D3"/>
    <mergeCell ref="B4:D4"/>
    <mergeCell ref="B5:D5"/>
    <mergeCell ref="B6:D6"/>
    <mergeCell ref="B7:D7"/>
    <mergeCell ref="A15:A19"/>
    <mergeCell ref="A22:A32"/>
    <mergeCell ref="A34:A41"/>
    <mergeCell ref="A51:A74"/>
    <mergeCell ref="A11:A13"/>
    <mergeCell ref="B11:D11"/>
    <mergeCell ref="B12:D12"/>
    <mergeCell ref="B13:D13"/>
    <mergeCell ref="B15:D15"/>
    <mergeCell ref="B16:D16"/>
    <mergeCell ref="B19:D19"/>
    <mergeCell ref="B17:D17"/>
    <mergeCell ref="B18:D18"/>
    <mergeCell ref="B27:D27"/>
    <mergeCell ref="B28:D28"/>
    <mergeCell ref="B29:D29"/>
    <mergeCell ref="B30:D30"/>
    <mergeCell ref="B31:D31"/>
    <mergeCell ref="B32:D32"/>
    <mergeCell ref="B34:D34"/>
    <mergeCell ref="B35:D35"/>
    <mergeCell ref="B36:D36"/>
    <mergeCell ref="B37:D37"/>
    <mergeCell ref="B38:D38"/>
    <mergeCell ref="B39:D39"/>
    <mergeCell ref="B80:B96"/>
    <mergeCell ref="C80:C87"/>
    <mergeCell ref="C88:C95"/>
    <mergeCell ref="C69:D69"/>
    <mergeCell ref="B70:D71"/>
    <mergeCell ref="B72:D72"/>
    <mergeCell ref="B73:B74"/>
    <mergeCell ref="C73:D73"/>
    <mergeCell ref="B75:D75"/>
    <mergeCell ref="B77:D77"/>
  </mergeCells>
  <conditionalFormatting sqref="E8:AB8">
    <cfRule type="cellIs" dxfId="0" priority="1" operator="greaterThanOrEqual">
      <formula>0</formula>
    </cfRule>
  </conditionalFormatting>
  <conditionalFormatting sqref="E8:AB8">
    <cfRule type="cellIs" dxfId="1" priority="2" operator="lessThan">
      <formula>0</formula>
    </cfRule>
  </conditionalFormatting>
  <conditionalFormatting sqref="E2:AB5">
    <cfRule type="notContainsBlanks" dxfId="0" priority="3">
      <formula>LEN(TRIM(E2))&gt;0</formula>
    </cfRule>
  </conditionalFormatting>
  <conditionalFormatting sqref="E2:AB5">
    <cfRule type="containsBlanks" dxfId="1" priority="4">
      <formula>LEN(TRIM(E2))=0</formula>
    </cfRule>
  </conditionalFormatting>
  <conditionalFormatting sqref="P102:P107">
    <cfRule type="expression" dxfId="2" priority="5">
      <formula>$R102&gt;=3</formula>
    </cfRule>
  </conditionalFormatting>
  <conditionalFormatting sqref="P102:P107">
    <cfRule type="expression" dxfId="3" priority="6">
      <formula>$R102&gt;=1.5</formula>
    </cfRule>
  </conditionalFormatting>
  <conditionalFormatting sqref="Q102:Q107">
    <cfRule type="expression" dxfId="2" priority="7">
      <formula>$R102&gt;=5</formula>
    </cfRule>
  </conditionalFormatting>
  <conditionalFormatting sqref="Q102:Q107">
    <cfRule type="expression" dxfId="3" priority="8">
      <formula>$R102&gt;=3</formula>
    </cfRule>
  </conditionalFormatting>
  <conditionalFormatting sqref="Q102:Q107">
    <cfRule type="expression" dxfId="4" priority="9">
      <formula>$R102&gt;=4</formula>
    </cfRule>
  </conditionalFormatting>
  <conditionalFormatting sqref="Q102:Q107">
    <cfRule type="expression" dxfId="5" priority="10">
      <formula>$R102&gt;=2.5</formula>
    </cfRule>
  </conditionalFormatting>
  <conditionalFormatting sqref="Q102:Q107">
    <cfRule type="expression" dxfId="1" priority="11">
      <formula>$R102&gt;=2</formula>
    </cfRule>
  </conditionalFormatting>
  <conditionalFormatting sqref="P102:P107">
    <cfRule type="expression" dxfId="5" priority="12">
      <formula>$R102&gt;=2.5</formula>
    </cfRule>
  </conditionalFormatting>
  <conditionalFormatting sqref="T104:X116">
    <cfRule type="expression" dxfId="1" priority="13">
      <formula>$W104&lt;0</formula>
    </cfRule>
  </conditionalFormatting>
  <conditionalFormatting sqref="T104:X116">
    <cfRule type="expression" dxfId="0" priority="14">
      <formula>$W104=0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54">
        <v>1.0</v>
      </c>
    </row>
    <row r="2">
      <c r="B2" s="78">
        <v>0.1</v>
      </c>
    </row>
    <row r="3">
      <c r="B3" s="79">
        <f>B2*B1</f>
        <v>0.1</v>
      </c>
      <c r="C3" s="80"/>
      <c r="D3" s="81">
        <f>1+B3</f>
        <v>1.1</v>
      </c>
      <c r="E3" s="80"/>
      <c r="F3" s="80"/>
      <c r="G3" s="80"/>
    </row>
    <row r="4">
      <c r="B4" s="54">
        <v>160.0</v>
      </c>
      <c r="C4" s="80"/>
      <c r="D4" s="82">
        <f>D3^B4</f>
        <v>4195943.439</v>
      </c>
      <c r="E4" s="83">
        <f>D4*B5</f>
        <v>209797172</v>
      </c>
      <c r="F4" s="84"/>
      <c r="G4" s="84"/>
    </row>
    <row r="5">
      <c r="B5" s="85">
        <v>50.0</v>
      </c>
      <c r="C5" s="80"/>
      <c r="D5" s="84"/>
      <c r="E5" s="84"/>
      <c r="F5" s="84"/>
      <c r="G5" s="8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7.38"/>
    <col customWidth="1" min="3" max="3" width="13.25"/>
    <col customWidth="1" min="4" max="4" width="14.13"/>
    <col customWidth="1" min="5" max="5" width="10.0"/>
    <col customWidth="1" min="6" max="6" width="14.13"/>
    <col customWidth="1" min="7" max="7" width="10.0"/>
  </cols>
  <sheetData>
    <row r="1" ht="22.5" customHeight="1">
      <c r="A1" s="86" t="s">
        <v>97</v>
      </c>
      <c r="B1" s="87" t="s">
        <v>98</v>
      </c>
      <c r="C1" s="88" t="s">
        <v>83</v>
      </c>
      <c r="D1" s="87" t="s">
        <v>99</v>
      </c>
      <c r="E1" s="88" t="s">
        <v>100</v>
      </c>
      <c r="F1" s="87" t="s">
        <v>101</v>
      </c>
      <c r="G1" s="88" t="s">
        <v>102</v>
      </c>
      <c r="H1" s="87" t="s">
        <v>103</v>
      </c>
      <c r="I1" s="88" t="s">
        <v>104</v>
      </c>
      <c r="J1" s="89"/>
      <c r="K1" s="90" t="s">
        <v>105</v>
      </c>
      <c r="L1" s="90" t="s">
        <v>106</v>
      </c>
      <c r="M1" s="90" t="s">
        <v>107</v>
      </c>
      <c r="N1" s="90" t="s">
        <v>108</v>
      </c>
      <c r="O1" s="90" t="s">
        <v>109</v>
      </c>
      <c r="P1" s="90" t="s">
        <v>110</v>
      </c>
      <c r="Q1" s="90" t="s">
        <v>111</v>
      </c>
      <c r="R1" s="89"/>
      <c r="S1" s="89"/>
      <c r="T1" s="89"/>
      <c r="U1" s="89"/>
      <c r="V1" s="89"/>
      <c r="W1" s="89"/>
      <c r="X1" s="89"/>
      <c r="Y1" s="89"/>
      <c r="Z1" s="89"/>
      <c r="AA1" s="89"/>
    </row>
    <row r="2" ht="22.5" customHeight="1">
      <c r="A2" s="91" t="s">
        <v>112</v>
      </c>
      <c r="B2" s="92">
        <v>74000.0</v>
      </c>
      <c r="C2" s="93">
        <v>45623.0</v>
      </c>
      <c r="D2" s="91">
        <v>93700.0</v>
      </c>
      <c r="E2" s="93">
        <v>45819.0</v>
      </c>
      <c r="F2" s="94"/>
      <c r="G2" s="93"/>
      <c r="H2" s="95"/>
      <c r="I2" s="96"/>
      <c r="J2" s="90" t="s">
        <v>3</v>
      </c>
      <c r="K2" s="97">
        <f>30000+40000</f>
        <v>70000</v>
      </c>
      <c r="L2" s="97">
        <f>30000</f>
        <v>30000</v>
      </c>
      <c r="M2" s="98">
        <v>30000.0</v>
      </c>
      <c r="N2" s="97"/>
      <c r="O2" s="98">
        <v>60000.0</v>
      </c>
      <c r="P2" s="98">
        <v>150000.0</v>
      </c>
      <c r="Q2" s="98">
        <v>150000.0</v>
      </c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22.5" customHeight="1">
      <c r="A3" s="91" t="s">
        <v>113</v>
      </c>
      <c r="B3" s="92">
        <v>77000.0</v>
      </c>
      <c r="C3" s="93">
        <v>45638.0</v>
      </c>
      <c r="D3" s="91">
        <v>93700.0</v>
      </c>
      <c r="E3" s="93">
        <v>45819.0</v>
      </c>
      <c r="F3" s="94"/>
      <c r="G3" s="93"/>
      <c r="H3" s="95"/>
      <c r="I3" s="96"/>
      <c r="J3" s="90" t="s">
        <v>12</v>
      </c>
      <c r="K3" s="97">
        <f>SUM(K2:Q2)</f>
        <v>490000</v>
      </c>
      <c r="L3" s="97"/>
      <c r="M3" s="97"/>
      <c r="N3" s="97"/>
      <c r="O3" s="97"/>
      <c r="P3" s="97"/>
      <c r="Q3" s="97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22.5" customHeight="1">
      <c r="A4" s="91" t="s">
        <v>114</v>
      </c>
      <c r="B4" s="92">
        <v>77000.0</v>
      </c>
      <c r="C4" s="93">
        <v>45638.0</v>
      </c>
      <c r="D4" s="91">
        <v>90800.0</v>
      </c>
      <c r="E4" s="93">
        <v>45800.0</v>
      </c>
      <c r="F4" s="94"/>
      <c r="G4" s="93"/>
      <c r="H4" s="95"/>
      <c r="I4" s="9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2.5" customHeight="1">
      <c r="A5" s="91" t="s">
        <v>115</v>
      </c>
      <c r="B5" s="92">
        <v>87500.0</v>
      </c>
      <c r="C5" s="93">
        <v>45777.0</v>
      </c>
      <c r="D5" s="91">
        <v>89700.0</v>
      </c>
      <c r="E5" s="93">
        <v>45789.0</v>
      </c>
      <c r="F5" s="91">
        <v>93500.0</v>
      </c>
      <c r="G5" s="93">
        <v>45814.0</v>
      </c>
      <c r="H5" s="96">
        <v>95800.0</v>
      </c>
      <c r="I5" s="99">
        <v>45844.0</v>
      </c>
      <c r="J5" s="90" t="s">
        <v>3</v>
      </c>
      <c r="K5" s="98">
        <v>150000.0</v>
      </c>
      <c r="L5" s="98">
        <v>150000.0</v>
      </c>
      <c r="M5" s="98">
        <v>150000.0</v>
      </c>
      <c r="N5" s="98">
        <v>150000.0</v>
      </c>
      <c r="O5" s="98">
        <v>150000.0</v>
      </c>
      <c r="P5" s="98">
        <v>150000.0</v>
      </c>
      <c r="Q5" s="98">
        <v>150000.0</v>
      </c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2.5" customHeight="1">
      <c r="A6" s="91" t="s">
        <v>116</v>
      </c>
      <c r="B6" s="92">
        <v>82000.0</v>
      </c>
      <c r="C6" s="93">
        <v>45687.0</v>
      </c>
      <c r="D6" s="94"/>
      <c r="E6" s="93"/>
      <c r="F6" s="94"/>
      <c r="G6" s="93"/>
      <c r="H6" s="95"/>
      <c r="I6" s="96"/>
      <c r="J6" s="90" t="s">
        <v>12</v>
      </c>
      <c r="K6" s="97">
        <f>SUM(K5:Q5)</f>
        <v>1050000</v>
      </c>
      <c r="L6" s="97"/>
      <c r="M6" s="97"/>
      <c r="N6" s="97"/>
      <c r="O6" s="97"/>
      <c r="P6" s="97"/>
      <c r="Q6" s="97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22.5" customHeight="1">
      <c r="A7" s="91" t="s">
        <v>117</v>
      </c>
      <c r="B7" s="92">
        <v>85000.0</v>
      </c>
      <c r="C7" s="93">
        <v>45748.0</v>
      </c>
      <c r="D7" s="94"/>
      <c r="E7" s="93"/>
      <c r="F7" s="94"/>
      <c r="G7" s="93"/>
      <c r="H7" s="95"/>
      <c r="I7" s="9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22.5" customHeight="1">
      <c r="A8" s="91" t="s">
        <v>118</v>
      </c>
      <c r="B8" s="92">
        <v>85000.0</v>
      </c>
      <c r="C8" s="93">
        <v>45748.0</v>
      </c>
      <c r="D8" s="94"/>
      <c r="E8" s="93"/>
      <c r="F8" s="94"/>
      <c r="G8" s="93"/>
      <c r="H8" s="95"/>
      <c r="I8" s="9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22.5" customHeight="1">
      <c r="A9" s="91" t="s">
        <v>119</v>
      </c>
      <c r="B9" s="92">
        <v>80450.0</v>
      </c>
      <c r="C9" s="93">
        <v>45671.0</v>
      </c>
      <c r="D9" s="94"/>
      <c r="E9" s="93"/>
      <c r="F9" s="94"/>
      <c r="G9" s="93"/>
      <c r="H9" s="95"/>
      <c r="I9" s="9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5"/>
      <c r="B10" s="15"/>
      <c r="C10" s="100"/>
      <c r="D10" s="15"/>
      <c r="E10" s="100"/>
      <c r="F10" s="15"/>
      <c r="G10" s="100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5"/>
      <c r="B11" s="15"/>
      <c r="C11" s="100"/>
      <c r="D11" s="15"/>
      <c r="E11" s="100"/>
      <c r="F11" s="15"/>
      <c r="G11" s="10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5"/>
      <c r="B12" s="15"/>
      <c r="C12" s="100"/>
      <c r="D12" s="15"/>
      <c r="E12" s="100"/>
      <c r="F12" s="15"/>
      <c r="G12" s="100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5"/>
      <c r="B14" s="15"/>
      <c r="C14" s="100"/>
      <c r="D14" s="15"/>
      <c r="E14" s="100"/>
      <c r="F14" s="15"/>
      <c r="G14" s="10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5"/>
      <c r="B15" s="15"/>
      <c r="C15" s="100"/>
      <c r="D15" s="15"/>
      <c r="E15" s="100"/>
      <c r="F15" s="15"/>
      <c r="G15" s="100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5"/>
      <c r="B16" s="15"/>
      <c r="C16" s="100"/>
      <c r="D16" s="15"/>
      <c r="E16" s="100"/>
      <c r="F16" s="15"/>
      <c r="G16" s="100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100"/>
      <c r="D17" s="15"/>
      <c r="E17" s="100"/>
      <c r="F17" s="15"/>
      <c r="G17" s="100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100"/>
      <c r="D18" s="15"/>
      <c r="E18" s="100"/>
      <c r="F18" s="15"/>
      <c r="G18" s="100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100"/>
      <c r="D19" s="15"/>
      <c r="E19" s="100"/>
      <c r="F19" s="15"/>
      <c r="G19" s="100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00"/>
      <c r="D20" s="15"/>
      <c r="E20" s="100"/>
      <c r="F20" s="15"/>
      <c r="G20" s="100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00"/>
      <c r="D21" s="15"/>
      <c r="E21" s="100"/>
      <c r="F21" s="15"/>
      <c r="G21" s="10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00"/>
      <c r="D22" s="15"/>
      <c r="E22" s="100"/>
      <c r="F22" s="15"/>
      <c r="G22" s="10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00"/>
      <c r="D23" s="15"/>
      <c r="E23" s="100"/>
      <c r="F23" s="15"/>
      <c r="G23" s="100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100"/>
      <c r="D24" s="15"/>
      <c r="E24" s="100"/>
      <c r="F24" s="15"/>
      <c r="G24" s="100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100"/>
      <c r="D25" s="15"/>
      <c r="E25" s="100"/>
      <c r="F25" s="15"/>
      <c r="G25" s="100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100"/>
      <c r="D26" s="15"/>
      <c r="E26" s="100"/>
      <c r="F26" s="15"/>
      <c r="G26" s="100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100"/>
      <c r="D27" s="15"/>
      <c r="E27" s="100"/>
      <c r="F27" s="15"/>
      <c r="G27" s="100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00"/>
      <c r="D28" s="15"/>
      <c r="E28" s="100"/>
      <c r="F28" s="15"/>
      <c r="G28" s="100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00"/>
      <c r="D29" s="15"/>
      <c r="E29" s="100"/>
      <c r="F29" s="15"/>
      <c r="G29" s="10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00"/>
      <c r="D30" s="15"/>
      <c r="E30" s="100"/>
      <c r="F30" s="15"/>
      <c r="G30" s="100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00"/>
      <c r="D31" s="15"/>
      <c r="E31" s="100"/>
      <c r="F31" s="15"/>
      <c r="G31" s="100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00"/>
      <c r="D32" s="15"/>
      <c r="E32" s="100"/>
      <c r="F32" s="15"/>
      <c r="G32" s="100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00"/>
      <c r="D33" s="15"/>
      <c r="E33" s="100"/>
      <c r="F33" s="15"/>
      <c r="G33" s="100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00"/>
      <c r="D34" s="15"/>
      <c r="E34" s="100"/>
      <c r="F34" s="15"/>
      <c r="G34" s="100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00"/>
      <c r="D35" s="15"/>
      <c r="E35" s="100"/>
      <c r="F35" s="15"/>
      <c r="G35" s="100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00"/>
      <c r="D36" s="15"/>
      <c r="E36" s="100"/>
      <c r="F36" s="15"/>
      <c r="G36" s="100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00"/>
      <c r="D37" s="15"/>
      <c r="E37" s="100"/>
      <c r="F37" s="15"/>
      <c r="G37" s="100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00"/>
      <c r="D38" s="15"/>
      <c r="E38" s="100"/>
      <c r="F38" s="15"/>
      <c r="G38" s="100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00"/>
      <c r="D39" s="15"/>
      <c r="E39" s="100"/>
      <c r="F39" s="15"/>
      <c r="G39" s="100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00"/>
      <c r="D40" s="15"/>
      <c r="E40" s="100"/>
      <c r="F40" s="15"/>
      <c r="G40" s="100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00"/>
      <c r="D41" s="15"/>
      <c r="E41" s="100"/>
      <c r="F41" s="15"/>
      <c r="G41" s="100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00"/>
      <c r="D42" s="15"/>
      <c r="E42" s="100"/>
      <c r="F42" s="15"/>
      <c r="G42" s="100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00"/>
      <c r="D43" s="15"/>
      <c r="E43" s="100"/>
      <c r="F43" s="15"/>
      <c r="G43" s="100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00"/>
      <c r="D44" s="15"/>
      <c r="E44" s="100"/>
      <c r="F44" s="15"/>
      <c r="G44" s="100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00"/>
      <c r="D45" s="15"/>
      <c r="E45" s="100"/>
      <c r="F45" s="15"/>
      <c r="G45" s="100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00"/>
      <c r="D46" s="15"/>
      <c r="E46" s="100"/>
      <c r="F46" s="15"/>
      <c r="G46" s="100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00"/>
      <c r="D47" s="15"/>
      <c r="E47" s="100"/>
      <c r="F47" s="15"/>
      <c r="G47" s="100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00"/>
      <c r="D48" s="15"/>
      <c r="E48" s="100"/>
      <c r="F48" s="15"/>
      <c r="G48" s="100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00"/>
      <c r="D49" s="15"/>
      <c r="E49" s="100"/>
      <c r="F49" s="15"/>
      <c r="G49" s="100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00"/>
      <c r="D50" s="15"/>
      <c r="E50" s="100"/>
      <c r="F50" s="15"/>
      <c r="G50" s="100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00"/>
      <c r="D51" s="15"/>
      <c r="E51" s="100"/>
      <c r="F51" s="15"/>
      <c r="G51" s="100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00"/>
      <c r="D52" s="15"/>
      <c r="E52" s="100"/>
      <c r="F52" s="15"/>
      <c r="G52" s="100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00"/>
      <c r="D53" s="15"/>
      <c r="E53" s="100"/>
      <c r="F53" s="15"/>
      <c r="G53" s="100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00"/>
      <c r="D54" s="15"/>
      <c r="E54" s="100"/>
      <c r="F54" s="15"/>
      <c r="G54" s="100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00"/>
      <c r="D55" s="15"/>
      <c r="E55" s="100"/>
      <c r="F55" s="15"/>
      <c r="G55" s="100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00"/>
      <c r="D56" s="15"/>
      <c r="E56" s="100"/>
      <c r="F56" s="15"/>
      <c r="G56" s="100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00"/>
      <c r="D57" s="15"/>
      <c r="E57" s="100"/>
      <c r="F57" s="15"/>
      <c r="G57" s="100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00"/>
      <c r="D58" s="15"/>
      <c r="E58" s="100"/>
      <c r="F58" s="15"/>
      <c r="G58" s="100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00"/>
      <c r="D59" s="15"/>
      <c r="E59" s="100"/>
      <c r="F59" s="15"/>
      <c r="G59" s="100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00"/>
      <c r="D60" s="15"/>
      <c r="E60" s="100"/>
      <c r="F60" s="15"/>
      <c r="G60" s="100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00"/>
      <c r="D61" s="15"/>
      <c r="E61" s="100"/>
      <c r="F61" s="15"/>
      <c r="G61" s="100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00"/>
      <c r="D62" s="15"/>
      <c r="E62" s="100"/>
      <c r="F62" s="15"/>
      <c r="G62" s="100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00"/>
      <c r="D63" s="15"/>
      <c r="E63" s="100"/>
      <c r="F63" s="15"/>
      <c r="G63" s="100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00"/>
      <c r="D64" s="15"/>
      <c r="E64" s="100"/>
      <c r="F64" s="15"/>
      <c r="G64" s="100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00"/>
      <c r="D65" s="15"/>
      <c r="E65" s="100"/>
      <c r="F65" s="15"/>
      <c r="G65" s="100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00"/>
      <c r="D66" s="15"/>
      <c r="E66" s="100"/>
      <c r="F66" s="15"/>
      <c r="G66" s="100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00"/>
      <c r="D67" s="15"/>
      <c r="E67" s="100"/>
      <c r="F67" s="15"/>
      <c r="G67" s="100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00"/>
      <c r="D68" s="15"/>
      <c r="E68" s="100"/>
      <c r="F68" s="15"/>
      <c r="G68" s="100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00"/>
      <c r="D69" s="15"/>
      <c r="E69" s="100"/>
      <c r="F69" s="15"/>
      <c r="G69" s="100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00"/>
      <c r="D70" s="15"/>
      <c r="E70" s="100"/>
      <c r="F70" s="15"/>
      <c r="G70" s="100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00"/>
      <c r="D71" s="15"/>
      <c r="E71" s="100"/>
      <c r="F71" s="15"/>
      <c r="G71" s="100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00"/>
      <c r="D72" s="15"/>
      <c r="E72" s="100"/>
      <c r="F72" s="15"/>
      <c r="G72" s="100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00"/>
      <c r="D73" s="15"/>
      <c r="E73" s="100"/>
      <c r="F73" s="15"/>
      <c r="G73" s="100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00"/>
      <c r="D74" s="15"/>
      <c r="E74" s="100"/>
      <c r="F74" s="15"/>
      <c r="G74" s="100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00"/>
      <c r="D75" s="15"/>
      <c r="E75" s="100"/>
      <c r="F75" s="15"/>
      <c r="G75" s="100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00"/>
      <c r="D76" s="15"/>
      <c r="E76" s="100"/>
      <c r="F76" s="15"/>
      <c r="G76" s="100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00"/>
      <c r="D77" s="15"/>
      <c r="E77" s="100"/>
      <c r="F77" s="15"/>
      <c r="G77" s="100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00"/>
      <c r="D78" s="15"/>
      <c r="E78" s="100"/>
      <c r="F78" s="15"/>
      <c r="G78" s="100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00"/>
      <c r="D79" s="15"/>
      <c r="E79" s="100"/>
      <c r="F79" s="15"/>
      <c r="G79" s="100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00"/>
      <c r="D80" s="15"/>
      <c r="E80" s="100"/>
      <c r="F80" s="15"/>
      <c r="G80" s="100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00"/>
      <c r="D81" s="15"/>
      <c r="E81" s="100"/>
      <c r="F81" s="15"/>
      <c r="G81" s="100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00"/>
      <c r="D82" s="15"/>
      <c r="E82" s="100"/>
      <c r="F82" s="15"/>
      <c r="G82" s="100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00"/>
      <c r="D83" s="15"/>
      <c r="E83" s="100"/>
      <c r="F83" s="15"/>
      <c r="G83" s="100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00"/>
      <c r="D84" s="15"/>
      <c r="E84" s="100"/>
      <c r="F84" s="15"/>
      <c r="G84" s="100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00"/>
      <c r="D85" s="15"/>
      <c r="E85" s="100"/>
      <c r="F85" s="15"/>
      <c r="G85" s="100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00"/>
      <c r="D86" s="15"/>
      <c r="E86" s="100"/>
      <c r="F86" s="15"/>
      <c r="G86" s="100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00"/>
      <c r="D87" s="15"/>
      <c r="E87" s="100"/>
      <c r="F87" s="15"/>
      <c r="G87" s="100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00"/>
      <c r="D88" s="15"/>
      <c r="E88" s="100"/>
      <c r="F88" s="15"/>
      <c r="G88" s="100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00"/>
      <c r="D89" s="15"/>
      <c r="E89" s="100"/>
      <c r="F89" s="15"/>
      <c r="G89" s="100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00"/>
      <c r="D90" s="15"/>
      <c r="E90" s="100"/>
      <c r="F90" s="15"/>
      <c r="G90" s="100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00"/>
      <c r="D91" s="15"/>
      <c r="E91" s="100"/>
      <c r="F91" s="15"/>
      <c r="G91" s="100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00"/>
      <c r="D92" s="15"/>
      <c r="E92" s="100"/>
      <c r="F92" s="15"/>
      <c r="G92" s="100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00"/>
      <c r="D93" s="15"/>
      <c r="E93" s="100"/>
      <c r="F93" s="15"/>
      <c r="G93" s="100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00"/>
      <c r="D94" s="15"/>
      <c r="E94" s="100"/>
      <c r="F94" s="15"/>
      <c r="G94" s="100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00"/>
      <c r="D95" s="15"/>
      <c r="E95" s="100"/>
      <c r="F95" s="15"/>
      <c r="G95" s="100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00"/>
      <c r="D96" s="15"/>
      <c r="E96" s="100"/>
      <c r="F96" s="15"/>
      <c r="G96" s="100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00"/>
      <c r="D97" s="15"/>
      <c r="E97" s="100"/>
      <c r="F97" s="15"/>
      <c r="G97" s="100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00"/>
      <c r="D98" s="15"/>
      <c r="E98" s="100"/>
      <c r="F98" s="15"/>
      <c r="G98" s="100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00"/>
      <c r="D99" s="15"/>
      <c r="E99" s="100"/>
      <c r="F99" s="15"/>
      <c r="G99" s="100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00"/>
      <c r="D100" s="15"/>
      <c r="E100" s="100"/>
      <c r="F100" s="15"/>
      <c r="G100" s="100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00"/>
      <c r="D101" s="15"/>
      <c r="E101" s="100"/>
      <c r="F101" s="15"/>
      <c r="G101" s="100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00"/>
      <c r="D102" s="15"/>
      <c r="E102" s="100"/>
      <c r="F102" s="15"/>
      <c r="G102" s="100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00"/>
      <c r="D103" s="15"/>
      <c r="E103" s="100"/>
      <c r="F103" s="15"/>
      <c r="G103" s="100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00"/>
      <c r="D104" s="15"/>
      <c r="E104" s="100"/>
      <c r="F104" s="15"/>
      <c r="G104" s="100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00"/>
      <c r="D105" s="15"/>
      <c r="E105" s="100"/>
      <c r="F105" s="15"/>
      <c r="G105" s="100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00"/>
      <c r="D106" s="15"/>
      <c r="E106" s="100"/>
      <c r="F106" s="15"/>
      <c r="G106" s="100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00"/>
      <c r="D107" s="15"/>
      <c r="E107" s="100"/>
      <c r="F107" s="15"/>
      <c r="G107" s="100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00"/>
      <c r="D108" s="15"/>
      <c r="E108" s="100"/>
      <c r="F108" s="15"/>
      <c r="G108" s="100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00"/>
      <c r="D109" s="15"/>
      <c r="E109" s="100"/>
      <c r="F109" s="15"/>
      <c r="G109" s="100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00"/>
      <c r="D110" s="15"/>
      <c r="E110" s="100"/>
      <c r="F110" s="15"/>
      <c r="G110" s="100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00"/>
      <c r="D111" s="15"/>
      <c r="E111" s="100"/>
      <c r="F111" s="15"/>
      <c r="G111" s="100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00"/>
      <c r="D112" s="15"/>
      <c r="E112" s="100"/>
      <c r="F112" s="15"/>
      <c r="G112" s="100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00"/>
      <c r="D113" s="15"/>
      <c r="E113" s="100"/>
      <c r="F113" s="15"/>
      <c r="G113" s="100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00"/>
      <c r="D114" s="15"/>
      <c r="E114" s="100"/>
      <c r="F114" s="15"/>
      <c r="G114" s="100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00"/>
      <c r="D115" s="15"/>
      <c r="E115" s="100"/>
      <c r="F115" s="15"/>
      <c r="G115" s="100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00"/>
      <c r="D116" s="15"/>
      <c r="E116" s="100"/>
      <c r="F116" s="15"/>
      <c r="G116" s="100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00"/>
      <c r="D117" s="15"/>
      <c r="E117" s="100"/>
      <c r="F117" s="15"/>
      <c r="G117" s="100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00"/>
      <c r="D118" s="15"/>
      <c r="E118" s="100"/>
      <c r="F118" s="15"/>
      <c r="G118" s="100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00"/>
      <c r="D119" s="15"/>
      <c r="E119" s="100"/>
      <c r="F119" s="15"/>
      <c r="G119" s="100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00"/>
      <c r="D120" s="15"/>
      <c r="E120" s="100"/>
      <c r="F120" s="15"/>
      <c r="G120" s="100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00"/>
      <c r="D121" s="15"/>
      <c r="E121" s="100"/>
      <c r="F121" s="15"/>
      <c r="G121" s="100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00"/>
      <c r="D122" s="15"/>
      <c r="E122" s="100"/>
      <c r="F122" s="15"/>
      <c r="G122" s="100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00"/>
      <c r="D123" s="15"/>
      <c r="E123" s="100"/>
      <c r="F123" s="15"/>
      <c r="G123" s="100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00"/>
      <c r="D124" s="15"/>
      <c r="E124" s="100"/>
      <c r="F124" s="15"/>
      <c r="G124" s="100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00"/>
      <c r="D125" s="15"/>
      <c r="E125" s="100"/>
      <c r="F125" s="15"/>
      <c r="G125" s="100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00"/>
      <c r="D126" s="15"/>
      <c r="E126" s="100"/>
      <c r="F126" s="15"/>
      <c r="G126" s="100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00"/>
      <c r="D127" s="15"/>
      <c r="E127" s="100"/>
      <c r="F127" s="15"/>
      <c r="G127" s="100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00"/>
      <c r="D128" s="15"/>
      <c r="E128" s="100"/>
      <c r="F128" s="15"/>
      <c r="G128" s="100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00"/>
      <c r="D129" s="15"/>
      <c r="E129" s="100"/>
      <c r="F129" s="15"/>
      <c r="G129" s="100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00"/>
      <c r="D130" s="15"/>
      <c r="E130" s="100"/>
      <c r="F130" s="15"/>
      <c r="G130" s="100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00"/>
      <c r="D131" s="15"/>
      <c r="E131" s="100"/>
      <c r="F131" s="15"/>
      <c r="G131" s="100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00"/>
      <c r="D132" s="15"/>
      <c r="E132" s="100"/>
      <c r="F132" s="15"/>
      <c r="G132" s="100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00"/>
      <c r="D133" s="15"/>
      <c r="E133" s="100"/>
      <c r="F133" s="15"/>
      <c r="G133" s="100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00"/>
      <c r="D134" s="15"/>
      <c r="E134" s="100"/>
      <c r="F134" s="15"/>
      <c r="G134" s="100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00"/>
      <c r="D135" s="15"/>
      <c r="E135" s="100"/>
      <c r="F135" s="15"/>
      <c r="G135" s="100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00"/>
      <c r="D136" s="15"/>
      <c r="E136" s="100"/>
      <c r="F136" s="15"/>
      <c r="G136" s="100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00"/>
      <c r="D137" s="15"/>
      <c r="E137" s="100"/>
      <c r="F137" s="15"/>
      <c r="G137" s="100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00"/>
      <c r="D138" s="15"/>
      <c r="E138" s="100"/>
      <c r="F138" s="15"/>
      <c r="G138" s="100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00"/>
      <c r="D139" s="15"/>
      <c r="E139" s="100"/>
      <c r="F139" s="15"/>
      <c r="G139" s="100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00"/>
      <c r="D140" s="15"/>
      <c r="E140" s="100"/>
      <c r="F140" s="15"/>
      <c r="G140" s="100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00"/>
      <c r="D141" s="15"/>
      <c r="E141" s="100"/>
      <c r="F141" s="15"/>
      <c r="G141" s="100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00"/>
      <c r="D142" s="15"/>
      <c r="E142" s="100"/>
      <c r="F142" s="15"/>
      <c r="G142" s="100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00"/>
      <c r="D143" s="15"/>
      <c r="E143" s="100"/>
      <c r="F143" s="15"/>
      <c r="G143" s="100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00"/>
      <c r="D144" s="15"/>
      <c r="E144" s="100"/>
      <c r="F144" s="15"/>
      <c r="G144" s="100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00"/>
      <c r="D145" s="15"/>
      <c r="E145" s="100"/>
      <c r="F145" s="15"/>
      <c r="G145" s="100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00"/>
      <c r="D146" s="15"/>
      <c r="E146" s="100"/>
      <c r="F146" s="15"/>
      <c r="G146" s="100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00"/>
      <c r="D147" s="15"/>
      <c r="E147" s="100"/>
      <c r="F147" s="15"/>
      <c r="G147" s="100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00"/>
      <c r="D148" s="15"/>
      <c r="E148" s="100"/>
      <c r="F148" s="15"/>
      <c r="G148" s="100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00"/>
      <c r="D149" s="15"/>
      <c r="E149" s="100"/>
      <c r="F149" s="15"/>
      <c r="G149" s="100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00"/>
      <c r="D150" s="15"/>
      <c r="E150" s="100"/>
      <c r="F150" s="15"/>
      <c r="G150" s="100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00"/>
      <c r="D151" s="15"/>
      <c r="E151" s="100"/>
      <c r="F151" s="15"/>
      <c r="G151" s="100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00"/>
      <c r="D152" s="15"/>
      <c r="E152" s="100"/>
      <c r="F152" s="15"/>
      <c r="G152" s="100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00"/>
      <c r="D153" s="15"/>
      <c r="E153" s="100"/>
      <c r="F153" s="15"/>
      <c r="G153" s="100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00"/>
      <c r="D154" s="15"/>
      <c r="E154" s="100"/>
      <c r="F154" s="15"/>
      <c r="G154" s="100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00"/>
      <c r="D155" s="15"/>
      <c r="E155" s="100"/>
      <c r="F155" s="15"/>
      <c r="G155" s="100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00"/>
      <c r="D156" s="15"/>
      <c r="E156" s="100"/>
      <c r="F156" s="15"/>
      <c r="G156" s="100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00"/>
      <c r="D157" s="15"/>
      <c r="E157" s="100"/>
      <c r="F157" s="15"/>
      <c r="G157" s="100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00"/>
      <c r="D158" s="15"/>
      <c r="E158" s="100"/>
      <c r="F158" s="15"/>
      <c r="G158" s="100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00"/>
      <c r="D159" s="15"/>
      <c r="E159" s="100"/>
      <c r="F159" s="15"/>
      <c r="G159" s="100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00"/>
      <c r="D160" s="15"/>
      <c r="E160" s="100"/>
      <c r="F160" s="15"/>
      <c r="G160" s="100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00"/>
      <c r="D161" s="15"/>
      <c r="E161" s="100"/>
      <c r="F161" s="15"/>
      <c r="G161" s="100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00"/>
      <c r="D162" s="15"/>
      <c r="E162" s="100"/>
      <c r="F162" s="15"/>
      <c r="G162" s="100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00"/>
      <c r="D163" s="15"/>
      <c r="E163" s="100"/>
      <c r="F163" s="15"/>
      <c r="G163" s="100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00"/>
      <c r="D164" s="15"/>
      <c r="E164" s="100"/>
      <c r="F164" s="15"/>
      <c r="G164" s="100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00"/>
      <c r="D165" s="15"/>
      <c r="E165" s="100"/>
      <c r="F165" s="15"/>
      <c r="G165" s="100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00"/>
      <c r="D166" s="15"/>
      <c r="E166" s="100"/>
      <c r="F166" s="15"/>
      <c r="G166" s="100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00"/>
      <c r="D167" s="15"/>
      <c r="E167" s="100"/>
      <c r="F167" s="15"/>
      <c r="G167" s="100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00"/>
      <c r="D168" s="15"/>
      <c r="E168" s="100"/>
      <c r="F168" s="15"/>
      <c r="G168" s="100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00"/>
      <c r="D169" s="15"/>
      <c r="E169" s="100"/>
      <c r="F169" s="15"/>
      <c r="G169" s="100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00"/>
      <c r="D170" s="15"/>
      <c r="E170" s="100"/>
      <c r="F170" s="15"/>
      <c r="G170" s="100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00"/>
      <c r="D171" s="15"/>
      <c r="E171" s="100"/>
      <c r="F171" s="15"/>
      <c r="G171" s="100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00"/>
      <c r="D172" s="15"/>
      <c r="E172" s="100"/>
      <c r="F172" s="15"/>
      <c r="G172" s="100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00"/>
      <c r="D173" s="15"/>
      <c r="E173" s="100"/>
      <c r="F173" s="15"/>
      <c r="G173" s="100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00"/>
      <c r="D174" s="15"/>
      <c r="E174" s="100"/>
      <c r="F174" s="15"/>
      <c r="G174" s="100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00"/>
      <c r="D175" s="15"/>
      <c r="E175" s="100"/>
      <c r="F175" s="15"/>
      <c r="G175" s="100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00"/>
      <c r="D176" s="15"/>
      <c r="E176" s="100"/>
      <c r="F176" s="15"/>
      <c r="G176" s="100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00"/>
      <c r="D177" s="15"/>
      <c r="E177" s="100"/>
      <c r="F177" s="15"/>
      <c r="G177" s="100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00"/>
      <c r="D178" s="15"/>
      <c r="E178" s="100"/>
      <c r="F178" s="15"/>
      <c r="G178" s="100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00"/>
      <c r="D179" s="15"/>
      <c r="E179" s="100"/>
      <c r="F179" s="15"/>
      <c r="G179" s="100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00"/>
      <c r="D180" s="15"/>
      <c r="E180" s="100"/>
      <c r="F180" s="15"/>
      <c r="G180" s="100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00"/>
      <c r="D181" s="15"/>
      <c r="E181" s="100"/>
      <c r="F181" s="15"/>
      <c r="G181" s="100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00"/>
      <c r="D182" s="15"/>
      <c r="E182" s="100"/>
      <c r="F182" s="15"/>
      <c r="G182" s="100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00"/>
      <c r="D183" s="15"/>
      <c r="E183" s="100"/>
      <c r="F183" s="15"/>
      <c r="G183" s="100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00"/>
      <c r="D184" s="15"/>
      <c r="E184" s="100"/>
      <c r="F184" s="15"/>
      <c r="G184" s="100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00"/>
      <c r="D185" s="15"/>
      <c r="E185" s="100"/>
      <c r="F185" s="15"/>
      <c r="G185" s="100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00"/>
      <c r="D186" s="15"/>
      <c r="E186" s="100"/>
      <c r="F186" s="15"/>
      <c r="G186" s="100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00"/>
      <c r="D187" s="15"/>
      <c r="E187" s="100"/>
      <c r="F187" s="15"/>
      <c r="G187" s="100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00"/>
      <c r="D188" s="15"/>
      <c r="E188" s="100"/>
      <c r="F188" s="15"/>
      <c r="G188" s="100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00"/>
      <c r="D189" s="15"/>
      <c r="E189" s="100"/>
      <c r="F189" s="15"/>
      <c r="G189" s="100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00"/>
      <c r="D190" s="15"/>
      <c r="E190" s="100"/>
      <c r="F190" s="15"/>
      <c r="G190" s="100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00"/>
      <c r="D191" s="15"/>
      <c r="E191" s="100"/>
      <c r="F191" s="15"/>
      <c r="G191" s="100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00"/>
      <c r="D192" s="15"/>
      <c r="E192" s="100"/>
      <c r="F192" s="15"/>
      <c r="G192" s="100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00"/>
      <c r="D193" s="15"/>
      <c r="E193" s="100"/>
      <c r="F193" s="15"/>
      <c r="G193" s="100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00"/>
      <c r="D194" s="15"/>
      <c r="E194" s="100"/>
      <c r="F194" s="15"/>
      <c r="G194" s="100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00"/>
      <c r="D195" s="15"/>
      <c r="E195" s="100"/>
      <c r="F195" s="15"/>
      <c r="G195" s="100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00"/>
      <c r="D196" s="15"/>
      <c r="E196" s="100"/>
      <c r="F196" s="15"/>
      <c r="G196" s="100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00"/>
      <c r="D197" s="15"/>
      <c r="E197" s="100"/>
      <c r="F197" s="15"/>
      <c r="G197" s="100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00"/>
      <c r="D198" s="15"/>
      <c r="E198" s="100"/>
      <c r="F198" s="15"/>
      <c r="G198" s="100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00"/>
      <c r="D199" s="15"/>
      <c r="E199" s="100"/>
      <c r="F199" s="15"/>
      <c r="G199" s="100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00"/>
      <c r="D200" s="15"/>
      <c r="E200" s="100"/>
      <c r="F200" s="15"/>
      <c r="G200" s="100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00"/>
      <c r="D201" s="15"/>
      <c r="E201" s="100"/>
      <c r="F201" s="15"/>
      <c r="G201" s="100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00"/>
      <c r="D202" s="15"/>
      <c r="E202" s="100"/>
      <c r="F202" s="15"/>
      <c r="G202" s="100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00"/>
      <c r="D203" s="15"/>
      <c r="E203" s="100"/>
      <c r="F203" s="15"/>
      <c r="G203" s="100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00"/>
      <c r="D204" s="15"/>
      <c r="E204" s="100"/>
      <c r="F204" s="15"/>
      <c r="G204" s="100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00"/>
      <c r="D205" s="15"/>
      <c r="E205" s="100"/>
      <c r="F205" s="15"/>
      <c r="G205" s="100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00"/>
      <c r="D206" s="15"/>
      <c r="E206" s="100"/>
      <c r="F206" s="15"/>
      <c r="G206" s="100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00"/>
      <c r="D207" s="15"/>
      <c r="E207" s="100"/>
      <c r="F207" s="15"/>
      <c r="G207" s="100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00"/>
      <c r="D208" s="15"/>
      <c r="E208" s="100"/>
      <c r="F208" s="15"/>
      <c r="G208" s="100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00"/>
      <c r="D209" s="15"/>
      <c r="E209" s="100"/>
      <c r="F209" s="15"/>
      <c r="G209" s="100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00"/>
      <c r="D210" s="15"/>
      <c r="E210" s="100"/>
      <c r="F210" s="15"/>
      <c r="G210" s="100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00"/>
      <c r="D211" s="15"/>
      <c r="E211" s="100"/>
      <c r="F211" s="15"/>
      <c r="G211" s="100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00"/>
      <c r="D212" s="15"/>
      <c r="E212" s="100"/>
      <c r="F212" s="15"/>
      <c r="G212" s="100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00"/>
      <c r="D213" s="15"/>
      <c r="E213" s="100"/>
      <c r="F213" s="15"/>
      <c r="G213" s="100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00"/>
      <c r="D214" s="15"/>
      <c r="E214" s="100"/>
      <c r="F214" s="15"/>
      <c r="G214" s="100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00"/>
      <c r="D215" s="15"/>
      <c r="E215" s="100"/>
      <c r="F215" s="15"/>
      <c r="G215" s="100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00"/>
      <c r="D216" s="15"/>
      <c r="E216" s="100"/>
      <c r="F216" s="15"/>
      <c r="G216" s="100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00"/>
      <c r="D217" s="15"/>
      <c r="E217" s="100"/>
      <c r="F217" s="15"/>
      <c r="G217" s="100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00"/>
      <c r="D218" s="15"/>
      <c r="E218" s="100"/>
      <c r="F218" s="15"/>
      <c r="G218" s="100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00"/>
      <c r="D219" s="15"/>
      <c r="E219" s="100"/>
      <c r="F219" s="15"/>
      <c r="G219" s="100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00"/>
      <c r="D220" s="15"/>
      <c r="E220" s="100"/>
      <c r="F220" s="15"/>
      <c r="G220" s="100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00"/>
      <c r="D221" s="15"/>
      <c r="E221" s="100"/>
      <c r="F221" s="15"/>
      <c r="G221" s="100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00"/>
      <c r="D222" s="15"/>
      <c r="E222" s="100"/>
      <c r="F222" s="15"/>
      <c r="G222" s="100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00"/>
      <c r="D223" s="15"/>
      <c r="E223" s="100"/>
      <c r="F223" s="15"/>
      <c r="G223" s="100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00"/>
      <c r="D224" s="15"/>
      <c r="E224" s="100"/>
      <c r="F224" s="15"/>
      <c r="G224" s="100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00"/>
      <c r="D225" s="15"/>
      <c r="E225" s="100"/>
      <c r="F225" s="15"/>
      <c r="G225" s="100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00"/>
      <c r="D226" s="15"/>
      <c r="E226" s="100"/>
      <c r="F226" s="15"/>
      <c r="G226" s="100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00"/>
      <c r="D227" s="15"/>
      <c r="E227" s="100"/>
      <c r="F227" s="15"/>
      <c r="G227" s="100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00"/>
      <c r="D228" s="15"/>
      <c r="E228" s="100"/>
      <c r="F228" s="15"/>
      <c r="G228" s="100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00"/>
      <c r="D229" s="15"/>
      <c r="E229" s="100"/>
      <c r="F229" s="15"/>
      <c r="G229" s="100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00"/>
      <c r="D230" s="15"/>
      <c r="E230" s="100"/>
      <c r="F230" s="15"/>
      <c r="G230" s="100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00"/>
      <c r="D231" s="15"/>
      <c r="E231" s="100"/>
      <c r="F231" s="15"/>
      <c r="G231" s="100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00"/>
      <c r="D232" s="15"/>
      <c r="E232" s="100"/>
      <c r="F232" s="15"/>
      <c r="G232" s="100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00"/>
      <c r="D233" s="15"/>
      <c r="E233" s="100"/>
      <c r="F233" s="15"/>
      <c r="G233" s="100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00"/>
      <c r="D234" s="15"/>
      <c r="E234" s="100"/>
      <c r="F234" s="15"/>
      <c r="G234" s="100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00"/>
      <c r="D235" s="15"/>
      <c r="E235" s="100"/>
      <c r="F235" s="15"/>
      <c r="G235" s="100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00"/>
      <c r="D236" s="15"/>
      <c r="E236" s="100"/>
      <c r="F236" s="15"/>
      <c r="G236" s="100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00"/>
      <c r="D237" s="15"/>
      <c r="E237" s="100"/>
      <c r="F237" s="15"/>
      <c r="G237" s="100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00"/>
      <c r="D238" s="15"/>
      <c r="E238" s="100"/>
      <c r="F238" s="15"/>
      <c r="G238" s="100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00"/>
      <c r="D239" s="15"/>
      <c r="E239" s="100"/>
      <c r="F239" s="15"/>
      <c r="G239" s="100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00"/>
      <c r="D240" s="15"/>
      <c r="E240" s="100"/>
      <c r="F240" s="15"/>
      <c r="G240" s="100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00"/>
      <c r="D241" s="15"/>
      <c r="E241" s="100"/>
      <c r="F241" s="15"/>
      <c r="G241" s="100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00"/>
      <c r="D242" s="15"/>
      <c r="E242" s="100"/>
      <c r="F242" s="15"/>
      <c r="G242" s="100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00"/>
      <c r="D243" s="15"/>
      <c r="E243" s="100"/>
      <c r="F243" s="15"/>
      <c r="G243" s="100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00"/>
      <c r="D244" s="15"/>
      <c r="E244" s="100"/>
      <c r="F244" s="15"/>
      <c r="G244" s="100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00"/>
      <c r="D245" s="15"/>
      <c r="E245" s="100"/>
      <c r="F245" s="15"/>
      <c r="G245" s="100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00"/>
      <c r="D246" s="15"/>
      <c r="E246" s="100"/>
      <c r="F246" s="15"/>
      <c r="G246" s="100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00"/>
      <c r="D247" s="15"/>
      <c r="E247" s="100"/>
      <c r="F247" s="15"/>
      <c r="G247" s="100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00"/>
      <c r="D248" s="15"/>
      <c r="E248" s="100"/>
      <c r="F248" s="15"/>
      <c r="G248" s="100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00"/>
      <c r="D249" s="15"/>
      <c r="E249" s="100"/>
      <c r="F249" s="15"/>
      <c r="G249" s="100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00"/>
      <c r="D250" s="15"/>
      <c r="E250" s="100"/>
      <c r="F250" s="15"/>
      <c r="G250" s="100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00"/>
      <c r="D251" s="15"/>
      <c r="E251" s="100"/>
      <c r="F251" s="15"/>
      <c r="G251" s="100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00"/>
      <c r="D252" s="15"/>
      <c r="E252" s="100"/>
      <c r="F252" s="15"/>
      <c r="G252" s="100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00"/>
      <c r="D253" s="15"/>
      <c r="E253" s="100"/>
      <c r="F253" s="15"/>
      <c r="G253" s="100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00"/>
      <c r="D254" s="15"/>
      <c r="E254" s="100"/>
      <c r="F254" s="15"/>
      <c r="G254" s="100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00"/>
      <c r="D255" s="15"/>
      <c r="E255" s="100"/>
      <c r="F255" s="15"/>
      <c r="G255" s="100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00"/>
      <c r="D256" s="15"/>
      <c r="E256" s="100"/>
      <c r="F256" s="15"/>
      <c r="G256" s="100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00"/>
      <c r="D257" s="15"/>
      <c r="E257" s="100"/>
      <c r="F257" s="15"/>
      <c r="G257" s="100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00"/>
      <c r="D258" s="15"/>
      <c r="E258" s="100"/>
      <c r="F258" s="15"/>
      <c r="G258" s="100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00"/>
      <c r="D259" s="15"/>
      <c r="E259" s="100"/>
      <c r="F259" s="15"/>
      <c r="G259" s="100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00"/>
      <c r="D260" s="15"/>
      <c r="E260" s="100"/>
      <c r="F260" s="15"/>
      <c r="G260" s="100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00"/>
      <c r="D261" s="15"/>
      <c r="E261" s="100"/>
      <c r="F261" s="15"/>
      <c r="G261" s="100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00"/>
      <c r="D262" s="15"/>
      <c r="E262" s="100"/>
      <c r="F262" s="15"/>
      <c r="G262" s="100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00"/>
      <c r="D263" s="15"/>
      <c r="E263" s="100"/>
      <c r="F263" s="15"/>
      <c r="G263" s="100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00"/>
      <c r="D264" s="15"/>
      <c r="E264" s="100"/>
      <c r="F264" s="15"/>
      <c r="G264" s="100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00"/>
      <c r="D265" s="15"/>
      <c r="E265" s="100"/>
      <c r="F265" s="15"/>
      <c r="G265" s="100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00"/>
      <c r="D266" s="15"/>
      <c r="E266" s="100"/>
      <c r="F266" s="15"/>
      <c r="G266" s="100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00"/>
      <c r="D267" s="15"/>
      <c r="E267" s="100"/>
      <c r="F267" s="15"/>
      <c r="G267" s="100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00"/>
      <c r="D268" s="15"/>
      <c r="E268" s="100"/>
      <c r="F268" s="15"/>
      <c r="G268" s="100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00"/>
      <c r="D269" s="15"/>
      <c r="E269" s="100"/>
      <c r="F269" s="15"/>
      <c r="G269" s="100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00"/>
      <c r="D270" s="15"/>
      <c r="E270" s="100"/>
      <c r="F270" s="15"/>
      <c r="G270" s="100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00"/>
      <c r="D271" s="15"/>
      <c r="E271" s="100"/>
      <c r="F271" s="15"/>
      <c r="G271" s="100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00"/>
      <c r="D272" s="15"/>
      <c r="E272" s="100"/>
      <c r="F272" s="15"/>
      <c r="G272" s="100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00"/>
      <c r="D273" s="15"/>
      <c r="E273" s="100"/>
      <c r="F273" s="15"/>
      <c r="G273" s="100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00"/>
      <c r="D274" s="15"/>
      <c r="E274" s="100"/>
      <c r="F274" s="15"/>
      <c r="G274" s="100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00"/>
      <c r="D275" s="15"/>
      <c r="E275" s="100"/>
      <c r="F275" s="15"/>
      <c r="G275" s="100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00"/>
      <c r="D276" s="15"/>
      <c r="E276" s="100"/>
      <c r="F276" s="15"/>
      <c r="G276" s="100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00"/>
      <c r="D277" s="15"/>
      <c r="E277" s="100"/>
      <c r="F277" s="15"/>
      <c r="G277" s="100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00"/>
      <c r="D278" s="15"/>
      <c r="E278" s="100"/>
      <c r="F278" s="15"/>
      <c r="G278" s="100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00"/>
      <c r="D279" s="15"/>
      <c r="E279" s="100"/>
      <c r="F279" s="15"/>
      <c r="G279" s="100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00"/>
      <c r="D280" s="15"/>
      <c r="E280" s="100"/>
      <c r="F280" s="15"/>
      <c r="G280" s="100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00"/>
      <c r="D281" s="15"/>
      <c r="E281" s="100"/>
      <c r="F281" s="15"/>
      <c r="G281" s="100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00"/>
      <c r="D282" s="15"/>
      <c r="E282" s="100"/>
      <c r="F282" s="15"/>
      <c r="G282" s="100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00"/>
      <c r="D283" s="15"/>
      <c r="E283" s="100"/>
      <c r="F283" s="15"/>
      <c r="G283" s="100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00"/>
      <c r="D284" s="15"/>
      <c r="E284" s="100"/>
      <c r="F284" s="15"/>
      <c r="G284" s="100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00"/>
      <c r="D285" s="15"/>
      <c r="E285" s="100"/>
      <c r="F285" s="15"/>
      <c r="G285" s="100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00"/>
      <c r="D286" s="15"/>
      <c r="E286" s="100"/>
      <c r="F286" s="15"/>
      <c r="G286" s="100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00"/>
      <c r="D287" s="15"/>
      <c r="E287" s="100"/>
      <c r="F287" s="15"/>
      <c r="G287" s="100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00"/>
      <c r="D288" s="15"/>
      <c r="E288" s="100"/>
      <c r="F288" s="15"/>
      <c r="G288" s="100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00"/>
      <c r="D289" s="15"/>
      <c r="E289" s="100"/>
      <c r="F289" s="15"/>
      <c r="G289" s="100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00"/>
      <c r="D290" s="15"/>
      <c r="E290" s="100"/>
      <c r="F290" s="15"/>
      <c r="G290" s="100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00"/>
      <c r="D291" s="15"/>
      <c r="E291" s="100"/>
      <c r="F291" s="15"/>
      <c r="G291" s="100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00"/>
      <c r="D292" s="15"/>
      <c r="E292" s="100"/>
      <c r="F292" s="15"/>
      <c r="G292" s="100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00"/>
      <c r="D293" s="15"/>
      <c r="E293" s="100"/>
      <c r="F293" s="15"/>
      <c r="G293" s="100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00"/>
      <c r="D294" s="15"/>
      <c r="E294" s="100"/>
      <c r="F294" s="15"/>
      <c r="G294" s="100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00"/>
      <c r="D295" s="15"/>
      <c r="E295" s="100"/>
      <c r="F295" s="15"/>
      <c r="G295" s="100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00"/>
      <c r="D296" s="15"/>
      <c r="E296" s="100"/>
      <c r="F296" s="15"/>
      <c r="G296" s="100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00"/>
      <c r="D297" s="15"/>
      <c r="E297" s="100"/>
      <c r="F297" s="15"/>
      <c r="G297" s="100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00"/>
      <c r="D298" s="15"/>
      <c r="E298" s="100"/>
      <c r="F298" s="15"/>
      <c r="G298" s="100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00"/>
      <c r="D299" s="15"/>
      <c r="E299" s="100"/>
      <c r="F299" s="15"/>
      <c r="G299" s="100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00"/>
      <c r="D300" s="15"/>
      <c r="E300" s="100"/>
      <c r="F300" s="15"/>
      <c r="G300" s="100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00"/>
      <c r="D301" s="15"/>
      <c r="E301" s="100"/>
      <c r="F301" s="15"/>
      <c r="G301" s="100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00"/>
      <c r="D302" s="15"/>
      <c r="E302" s="100"/>
      <c r="F302" s="15"/>
      <c r="G302" s="100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00"/>
      <c r="D303" s="15"/>
      <c r="E303" s="100"/>
      <c r="F303" s="15"/>
      <c r="G303" s="100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00"/>
      <c r="D304" s="15"/>
      <c r="E304" s="100"/>
      <c r="F304" s="15"/>
      <c r="G304" s="100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00"/>
      <c r="D305" s="15"/>
      <c r="E305" s="100"/>
      <c r="F305" s="15"/>
      <c r="G305" s="100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00"/>
      <c r="D306" s="15"/>
      <c r="E306" s="100"/>
      <c r="F306" s="15"/>
      <c r="G306" s="100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00"/>
      <c r="D307" s="15"/>
      <c r="E307" s="100"/>
      <c r="F307" s="15"/>
      <c r="G307" s="100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00"/>
      <c r="D308" s="15"/>
      <c r="E308" s="100"/>
      <c r="F308" s="15"/>
      <c r="G308" s="100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00"/>
      <c r="D309" s="15"/>
      <c r="E309" s="100"/>
      <c r="F309" s="15"/>
      <c r="G309" s="100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00"/>
      <c r="D310" s="15"/>
      <c r="E310" s="100"/>
      <c r="F310" s="15"/>
      <c r="G310" s="100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00"/>
      <c r="D311" s="15"/>
      <c r="E311" s="100"/>
      <c r="F311" s="15"/>
      <c r="G311" s="100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00"/>
      <c r="D312" s="15"/>
      <c r="E312" s="100"/>
      <c r="F312" s="15"/>
      <c r="G312" s="100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00"/>
      <c r="D313" s="15"/>
      <c r="E313" s="100"/>
      <c r="F313" s="15"/>
      <c r="G313" s="100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00"/>
      <c r="D314" s="15"/>
      <c r="E314" s="100"/>
      <c r="F314" s="15"/>
      <c r="G314" s="100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00"/>
      <c r="D315" s="15"/>
      <c r="E315" s="100"/>
      <c r="F315" s="15"/>
      <c r="G315" s="100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00"/>
      <c r="D316" s="15"/>
      <c r="E316" s="100"/>
      <c r="F316" s="15"/>
      <c r="G316" s="100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00"/>
      <c r="D317" s="15"/>
      <c r="E317" s="100"/>
      <c r="F317" s="15"/>
      <c r="G317" s="100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00"/>
      <c r="D318" s="15"/>
      <c r="E318" s="100"/>
      <c r="F318" s="15"/>
      <c r="G318" s="100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00"/>
      <c r="D319" s="15"/>
      <c r="E319" s="100"/>
      <c r="F319" s="15"/>
      <c r="G319" s="100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00"/>
      <c r="D320" s="15"/>
      <c r="E320" s="100"/>
      <c r="F320" s="15"/>
      <c r="G320" s="100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00"/>
      <c r="D321" s="15"/>
      <c r="E321" s="100"/>
      <c r="F321" s="15"/>
      <c r="G321" s="100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00"/>
      <c r="D322" s="15"/>
      <c r="E322" s="100"/>
      <c r="F322" s="15"/>
      <c r="G322" s="100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00"/>
      <c r="D323" s="15"/>
      <c r="E323" s="100"/>
      <c r="F323" s="15"/>
      <c r="G323" s="100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00"/>
      <c r="D324" s="15"/>
      <c r="E324" s="100"/>
      <c r="F324" s="15"/>
      <c r="G324" s="100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00"/>
      <c r="D325" s="15"/>
      <c r="E325" s="100"/>
      <c r="F325" s="15"/>
      <c r="G325" s="100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00"/>
      <c r="D326" s="15"/>
      <c r="E326" s="100"/>
      <c r="F326" s="15"/>
      <c r="G326" s="100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00"/>
      <c r="D327" s="15"/>
      <c r="E327" s="100"/>
      <c r="F327" s="15"/>
      <c r="G327" s="100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00"/>
      <c r="D328" s="15"/>
      <c r="E328" s="100"/>
      <c r="F328" s="15"/>
      <c r="G328" s="100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00"/>
      <c r="D329" s="15"/>
      <c r="E329" s="100"/>
      <c r="F329" s="15"/>
      <c r="G329" s="100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00"/>
      <c r="D330" s="15"/>
      <c r="E330" s="100"/>
      <c r="F330" s="15"/>
      <c r="G330" s="100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00"/>
      <c r="D331" s="15"/>
      <c r="E331" s="100"/>
      <c r="F331" s="15"/>
      <c r="G331" s="100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00"/>
      <c r="D332" s="15"/>
      <c r="E332" s="100"/>
      <c r="F332" s="15"/>
      <c r="G332" s="100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00"/>
      <c r="D333" s="15"/>
      <c r="E333" s="100"/>
      <c r="F333" s="15"/>
      <c r="G333" s="100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00"/>
      <c r="D334" s="15"/>
      <c r="E334" s="100"/>
      <c r="F334" s="15"/>
      <c r="G334" s="100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00"/>
      <c r="D335" s="15"/>
      <c r="E335" s="100"/>
      <c r="F335" s="15"/>
      <c r="G335" s="100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00"/>
      <c r="D336" s="15"/>
      <c r="E336" s="100"/>
      <c r="F336" s="15"/>
      <c r="G336" s="100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00"/>
      <c r="D337" s="15"/>
      <c r="E337" s="100"/>
      <c r="F337" s="15"/>
      <c r="G337" s="100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00"/>
      <c r="D338" s="15"/>
      <c r="E338" s="100"/>
      <c r="F338" s="15"/>
      <c r="G338" s="100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00"/>
      <c r="D339" s="15"/>
      <c r="E339" s="100"/>
      <c r="F339" s="15"/>
      <c r="G339" s="100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00"/>
      <c r="D340" s="15"/>
      <c r="E340" s="100"/>
      <c r="F340" s="15"/>
      <c r="G340" s="100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00"/>
      <c r="D341" s="15"/>
      <c r="E341" s="100"/>
      <c r="F341" s="15"/>
      <c r="G341" s="100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00"/>
      <c r="D342" s="15"/>
      <c r="E342" s="100"/>
      <c r="F342" s="15"/>
      <c r="G342" s="100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00"/>
      <c r="D343" s="15"/>
      <c r="E343" s="100"/>
      <c r="F343" s="15"/>
      <c r="G343" s="100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00"/>
      <c r="D344" s="15"/>
      <c r="E344" s="100"/>
      <c r="F344" s="15"/>
      <c r="G344" s="100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00"/>
      <c r="D345" s="15"/>
      <c r="E345" s="100"/>
      <c r="F345" s="15"/>
      <c r="G345" s="100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00"/>
      <c r="D346" s="15"/>
      <c r="E346" s="100"/>
      <c r="F346" s="15"/>
      <c r="G346" s="100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00"/>
      <c r="D347" s="15"/>
      <c r="E347" s="100"/>
      <c r="F347" s="15"/>
      <c r="G347" s="100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00"/>
      <c r="D348" s="15"/>
      <c r="E348" s="100"/>
      <c r="F348" s="15"/>
      <c r="G348" s="100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00"/>
      <c r="D349" s="15"/>
      <c r="E349" s="100"/>
      <c r="F349" s="15"/>
      <c r="G349" s="100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00"/>
      <c r="D350" s="15"/>
      <c r="E350" s="100"/>
      <c r="F350" s="15"/>
      <c r="G350" s="100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00"/>
      <c r="D351" s="15"/>
      <c r="E351" s="100"/>
      <c r="F351" s="15"/>
      <c r="G351" s="100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00"/>
      <c r="D352" s="15"/>
      <c r="E352" s="100"/>
      <c r="F352" s="15"/>
      <c r="G352" s="100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00"/>
      <c r="D353" s="15"/>
      <c r="E353" s="100"/>
      <c r="F353" s="15"/>
      <c r="G353" s="100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00"/>
      <c r="D354" s="15"/>
      <c r="E354" s="100"/>
      <c r="F354" s="15"/>
      <c r="G354" s="100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00"/>
      <c r="D355" s="15"/>
      <c r="E355" s="100"/>
      <c r="F355" s="15"/>
      <c r="G355" s="100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00"/>
      <c r="D356" s="15"/>
      <c r="E356" s="100"/>
      <c r="F356" s="15"/>
      <c r="G356" s="100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00"/>
      <c r="D357" s="15"/>
      <c r="E357" s="100"/>
      <c r="F357" s="15"/>
      <c r="G357" s="100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00"/>
      <c r="D358" s="15"/>
      <c r="E358" s="100"/>
      <c r="F358" s="15"/>
      <c r="G358" s="100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00"/>
      <c r="D359" s="15"/>
      <c r="E359" s="100"/>
      <c r="F359" s="15"/>
      <c r="G359" s="100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00"/>
      <c r="D360" s="15"/>
      <c r="E360" s="100"/>
      <c r="F360" s="15"/>
      <c r="G360" s="100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00"/>
      <c r="D361" s="15"/>
      <c r="E361" s="100"/>
      <c r="F361" s="15"/>
      <c r="G361" s="100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00"/>
      <c r="D362" s="15"/>
      <c r="E362" s="100"/>
      <c r="F362" s="15"/>
      <c r="G362" s="100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00"/>
      <c r="D363" s="15"/>
      <c r="E363" s="100"/>
      <c r="F363" s="15"/>
      <c r="G363" s="100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00"/>
      <c r="D364" s="15"/>
      <c r="E364" s="100"/>
      <c r="F364" s="15"/>
      <c r="G364" s="100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00"/>
      <c r="D365" s="15"/>
      <c r="E365" s="100"/>
      <c r="F365" s="15"/>
      <c r="G365" s="100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00"/>
      <c r="D366" s="15"/>
      <c r="E366" s="100"/>
      <c r="F366" s="15"/>
      <c r="G366" s="100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00"/>
      <c r="D367" s="15"/>
      <c r="E367" s="100"/>
      <c r="F367" s="15"/>
      <c r="G367" s="100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00"/>
      <c r="D368" s="15"/>
      <c r="E368" s="100"/>
      <c r="F368" s="15"/>
      <c r="G368" s="100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00"/>
      <c r="D369" s="15"/>
      <c r="E369" s="100"/>
      <c r="F369" s="15"/>
      <c r="G369" s="100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00"/>
      <c r="D370" s="15"/>
      <c r="E370" s="100"/>
      <c r="F370" s="15"/>
      <c r="G370" s="100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00"/>
      <c r="D371" s="15"/>
      <c r="E371" s="100"/>
      <c r="F371" s="15"/>
      <c r="G371" s="100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00"/>
      <c r="D372" s="15"/>
      <c r="E372" s="100"/>
      <c r="F372" s="15"/>
      <c r="G372" s="100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00"/>
      <c r="D373" s="15"/>
      <c r="E373" s="100"/>
      <c r="F373" s="15"/>
      <c r="G373" s="100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00"/>
      <c r="D374" s="15"/>
      <c r="E374" s="100"/>
      <c r="F374" s="15"/>
      <c r="G374" s="100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00"/>
      <c r="D375" s="15"/>
      <c r="E375" s="100"/>
      <c r="F375" s="15"/>
      <c r="G375" s="100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00"/>
      <c r="D376" s="15"/>
      <c r="E376" s="100"/>
      <c r="F376" s="15"/>
      <c r="G376" s="100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00"/>
      <c r="D377" s="15"/>
      <c r="E377" s="100"/>
      <c r="F377" s="15"/>
      <c r="G377" s="100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00"/>
      <c r="D378" s="15"/>
      <c r="E378" s="100"/>
      <c r="F378" s="15"/>
      <c r="G378" s="100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00"/>
      <c r="D379" s="15"/>
      <c r="E379" s="100"/>
      <c r="F379" s="15"/>
      <c r="G379" s="100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00"/>
      <c r="D380" s="15"/>
      <c r="E380" s="100"/>
      <c r="F380" s="15"/>
      <c r="G380" s="100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00"/>
      <c r="D381" s="15"/>
      <c r="E381" s="100"/>
      <c r="F381" s="15"/>
      <c r="G381" s="100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00"/>
      <c r="D382" s="15"/>
      <c r="E382" s="100"/>
      <c r="F382" s="15"/>
      <c r="G382" s="100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00"/>
      <c r="D383" s="15"/>
      <c r="E383" s="100"/>
      <c r="F383" s="15"/>
      <c r="G383" s="100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00"/>
      <c r="D384" s="15"/>
      <c r="E384" s="100"/>
      <c r="F384" s="15"/>
      <c r="G384" s="100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00"/>
      <c r="D385" s="15"/>
      <c r="E385" s="100"/>
      <c r="F385" s="15"/>
      <c r="G385" s="100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00"/>
      <c r="D386" s="15"/>
      <c r="E386" s="100"/>
      <c r="F386" s="15"/>
      <c r="G386" s="100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00"/>
      <c r="D387" s="15"/>
      <c r="E387" s="100"/>
      <c r="F387" s="15"/>
      <c r="G387" s="100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00"/>
      <c r="D388" s="15"/>
      <c r="E388" s="100"/>
      <c r="F388" s="15"/>
      <c r="G388" s="100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00"/>
      <c r="D389" s="15"/>
      <c r="E389" s="100"/>
      <c r="F389" s="15"/>
      <c r="G389" s="100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00"/>
      <c r="D390" s="15"/>
      <c r="E390" s="100"/>
      <c r="F390" s="15"/>
      <c r="G390" s="100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00"/>
      <c r="D391" s="15"/>
      <c r="E391" s="100"/>
      <c r="F391" s="15"/>
      <c r="G391" s="100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00"/>
      <c r="D392" s="15"/>
      <c r="E392" s="100"/>
      <c r="F392" s="15"/>
      <c r="G392" s="100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00"/>
      <c r="D393" s="15"/>
      <c r="E393" s="100"/>
      <c r="F393" s="15"/>
      <c r="G393" s="100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00"/>
      <c r="D394" s="15"/>
      <c r="E394" s="100"/>
      <c r="F394" s="15"/>
      <c r="G394" s="100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00"/>
      <c r="D395" s="15"/>
      <c r="E395" s="100"/>
      <c r="F395" s="15"/>
      <c r="G395" s="100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00"/>
      <c r="D396" s="15"/>
      <c r="E396" s="100"/>
      <c r="F396" s="15"/>
      <c r="G396" s="100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00"/>
      <c r="D397" s="15"/>
      <c r="E397" s="100"/>
      <c r="F397" s="15"/>
      <c r="G397" s="100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00"/>
      <c r="D398" s="15"/>
      <c r="E398" s="100"/>
      <c r="F398" s="15"/>
      <c r="G398" s="100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00"/>
      <c r="D399" s="15"/>
      <c r="E399" s="100"/>
      <c r="F399" s="15"/>
      <c r="G399" s="100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00"/>
      <c r="D400" s="15"/>
      <c r="E400" s="100"/>
      <c r="F400" s="15"/>
      <c r="G400" s="100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00"/>
      <c r="D401" s="15"/>
      <c r="E401" s="100"/>
      <c r="F401" s="15"/>
      <c r="G401" s="100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00"/>
      <c r="D402" s="15"/>
      <c r="E402" s="100"/>
      <c r="F402" s="15"/>
      <c r="G402" s="100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00"/>
      <c r="D403" s="15"/>
      <c r="E403" s="100"/>
      <c r="F403" s="15"/>
      <c r="G403" s="100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00"/>
      <c r="D404" s="15"/>
      <c r="E404" s="100"/>
      <c r="F404" s="15"/>
      <c r="G404" s="100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00"/>
      <c r="D405" s="15"/>
      <c r="E405" s="100"/>
      <c r="F405" s="15"/>
      <c r="G405" s="100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00"/>
      <c r="D406" s="15"/>
      <c r="E406" s="100"/>
      <c r="F406" s="15"/>
      <c r="G406" s="100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00"/>
      <c r="D407" s="15"/>
      <c r="E407" s="100"/>
      <c r="F407" s="15"/>
      <c r="G407" s="100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00"/>
      <c r="D408" s="15"/>
      <c r="E408" s="100"/>
      <c r="F408" s="15"/>
      <c r="G408" s="100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00"/>
      <c r="D409" s="15"/>
      <c r="E409" s="100"/>
      <c r="F409" s="15"/>
      <c r="G409" s="100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00"/>
      <c r="D410" s="15"/>
      <c r="E410" s="100"/>
      <c r="F410" s="15"/>
      <c r="G410" s="100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00"/>
      <c r="D411" s="15"/>
      <c r="E411" s="100"/>
      <c r="F411" s="15"/>
      <c r="G411" s="100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00"/>
      <c r="D412" s="15"/>
      <c r="E412" s="100"/>
      <c r="F412" s="15"/>
      <c r="G412" s="100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00"/>
      <c r="D413" s="15"/>
      <c r="E413" s="100"/>
      <c r="F413" s="15"/>
      <c r="G413" s="100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00"/>
      <c r="D414" s="15"/>
      <c r="E414" s="100"/>
      <c r="F414" s="15"/>
      <c r="G414" s="100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00"/>
      <c r="D415" s="15"/>
      <c r="E415" s="100"/>
      <c r="F415" s="15"/>
      <c r="G415" s="100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00"/>
      <c r="D416" s="15"/>
      <c r="E416" s="100"/>
      <c r="F416" s="15"/>
      <c r="G416" s="100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00"/>
      <c r="D417" s="15"/>
      <c r="E417" s="100"/>
      <c r="F417" s="15"/>
      <c r="G417" s="100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00"/>
      <c r="D418" s="15"/>
      <c r="E418" s="100"/>
      <c r="F418" s="15"/>
      <c r="G418" s="100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00"/>
      <c r="D419" s="15"/>
      <c r="E419" s="100"/>
      <c r="F419" s="15"/>
      <c r="G419" s="100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00"/>
      <c r="D420" s="15"/>
      <c r="E420" s="100"/>
      <c r="F420" s="15"/>
      <c r="G420" s="100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00"/>
      <c r="D421" s="15"/>
      <c r="E421" s="100"/>
      <c r="F421" s="15"/>
      <c r="G421" s="100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00"/>
      <c r="D422" s="15"/>
      <c r="E422" s="100"/>
      <c r="F422" s="15"/>
      <c r="G422" s="100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00"/>
      <c r="D423" s="15"/>
      <c r="E423" s="100"/>
      <c r="F423" s="15"/>
      <c r="G423" s="100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00"/>
      <c r="D424" s="15"/>
      <c r="E424" s="100"/>
      <c r="F424" s="15"/>
      <c r="G424" s="100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00"/>
      <c r="D425" s="15"/>
      <c r="E425" s="100"/>
      <c r="F425" s="15"/>
      <c r="G425" s="100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00"/>
      <c r="D426" s="15"/>
      <c r="E426" s="100"/>
      <c r="F426" s="15"/>
      <c r="G426" s="100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00"/>
      <c r="D427" s="15"/>
      <c r="E427" s="100"/>
      <c r="F427" s="15"/>
      <c r="G427" s="100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00"/>
      <c r="D428" s="15"/>
      <c r="E428" s="100"/>
      <c r="F428" s="15"/>
      <c r="G428" s="100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00"/>
      <c r="D429" s="15"/>
      <c r="E429" s="100"/>
      <c r="F429" s="15"/>
      <c r="G429" s="100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00"/>
      <c r="D430" s="15"/>
      <c r="E430" s="100"/>
      <c r="F430" s="15"/>
      <c r="G430" s="100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00"/>
      <c r="D431" s="15"/>
      <c r="E431" s="100"/>
      <c r="F431" s="15"/>
      <c r="G431" s="100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00"/>
      <c r="D432" s="15"/>
      <c r="E432" s="100"/>
      <c r="F432" s="15"/>
      <c r="G432" s="100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00"/>
      <c r="D433" s="15"/>
      <c r="E433" s="100"/>
      <c r="F433" s="15"/>
      <c r="G433" s="100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00"/>
      <c r="D434" s="15"/>
      <c r="E434" s="100"/>
      <c r="F434" s="15"/>
      <c r="G434" s="100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00"/>
      <c r="D435" s="15"/>
      <c r="E435" s="100"/>
      <c r="F435" s="15"/>
      <c r="G435" s="100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00"/>
      <c r="D436" s="15"/>
      <c r="E436" s="100"/>
      <c r="F436" s="15"/>
      <c r="G436" s="100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00"/>
      <c r="D437" s="15"/>
      <c r="E437" s="100"/>
      <c r="F437" s="15"/>
      <c r="G437" s="100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00"/>
      <c r="D438" s="15"/>
      <c r="E438" s="100"/>
      <c r="F438" s="15"/>
      <c r="G438" s="100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00"/>
      <c r="D439" s="15"/>
      <c r="E439" s="100"/>
      <c r="F439" s="15"/>
      <c r="G439" s="100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00"/>
      <c r="D440" s="15"/>
      <c r="E440" s="100"/>
      <c r="F440" s="15"/>
      <c r="G440" s="100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00"/>
      <c r="D441" s="15"/>
      <c r="E441" s="100"/>
      <c r="F441" s="15"/>
      <c r="G441" s="100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00"/>
      <c r="D442" s="15"/>
      <c r="E442" s="100"/>
      <c r="F442" s="15"/>
      <c r="G442" s="100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00"/>
      <c r="D443" s="15"/>
      <c r="E443" s="100"/>
      <c r="F443" s="15"/>
      <c r="G443" s="100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00"/>
      <c r="D444" s="15"/>
      <c r="E444" s="100"/>
      <c r="F444" s="15"/>
      <c r="G444" s="100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00"/>
      <c r="D445" s="15"/>
      <c r="E445" s="100"/>
      <c r="F445" s="15"/>
      <c r="G445" s="100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00"/>
      <c r="D446" s="15"/>
      <c r="E446" s="100"/>
      <c r="F446" s="15"/>
      <c r="G446" s="100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00"/>
      <c r="D447" s="15"/>
      <c r="E447" s="100"/>
      <c r="F447" s="15"/>
      <c r="G447" s="100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00"/>
      <c r="D448" s="15"/>
      <c r="E448" s="100"/>
      <c r="F448" s="15"/>
      <c r="G448" s="100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00"/>
      <c r="D449" s="15"/>
      <c r="E449" s="100"/>
      <c r="F449" s="15"/>
      <c r="G449" s="100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00"/>
      <c r="D450" s="15"/>
      <c r="E450" s="100"/>
      <c r="F450" s="15"/>
      <c r="G450" s="100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00"/>
      <c r="D451" s="15"/>
      <c r="E451" s="100"/>
      <c r="F451" s="15"/>
      <c r="G451" s="100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00"/>
      <c r="D452" s="15"/>
      <c r="E452" s="100"/>
      <c r="F452" s="15"/>
      <c r="G452" s="100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00"/>
      <c r="D453" s="15"/>
      <c r="E453" s="100"/>
      <c r="F453" s="15"/>
      <c r="G453" s="100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00"/>
      <c r="D454" s="15"/>
      <c r="E454" s="100"/>
      <c r="F454" s="15"/>
      <c r="G454" s="100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00"/>
      <c r="D455" s="15"/>
      <c r="E455" s="100"/>
      <c r="F455" s="15"/>
      <c r="G455" s="100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00"/>
      <c r="D456" s="15"/>
      <c r="E456" s="100"/>
      <c r="F456" s="15"/>
      <c r="G456" s="100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00"/>
      <c r="D457" s="15"/>
      <c r="E457" s="100"/>
      <c r="F457" s="15"/>
      <c r="G457" s="100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00"/>
      <c r="D458" s="15"/>
      <c r="E458" s="100"/>
      <c r="F458" s="15"/>
      <c r="G458" s="100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00"/>
      <c r="D459" s="15"/>
      <c r="E459" s="100"/>
      <c r="F459" s="15"/>
      <c r="G459" s="100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00"/>
      <c r="D460" s="15"/>
      <c r="E460" s="100"/>
      <c r="F460" s="15"/>
      <c r="G460" s="100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00"/>
      <c r="D461" s="15"/>
      <c r="E461" s="100"/>
      <c r="F461" s="15"/>
      <c r="G461" s="100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00"/>
      <c r="D462" s="15"/>
      <c r="E462" s="100"/>
      <c r="F462" s="15"/>
      <c r="G462" s="100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00"/>
      <c r="D463" s="15"/>
      <c r="E463" s="100"/>
      <c r="F463" s="15"/>
      <c r="G463" s="100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00"/>
      <c r="D464" s="15"/>
      <c r="E464" s="100"/>
      <c r="F464" s="15"/>
      <c r="G464" s="100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00"/>
      <c r="D465" s="15"/>
      <c r="E465" s="100"/>
      <c r="F465" s="15"/>
      <c r="G465" s="100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00"/>
      <c r="D466" s="15"/>
      <c r="E466" s="100"/>
      <c r="F466" s="15"/>
      <c r="G466" s="100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00"/>
      <c r="D467" s="15"/>
      <c r="E467" s="100"/>
      <c r="F467" s="15"/>
      <c r="G467" s="100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00"/>
      <c r="D468" s="15"/>
      <c r="E468" s="100"/>
      <c r="F468" s="15"/>
      <c r="G468" s="100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00"/>
      <c r="D469" s="15"/>
      <c r="E469" s="100"/>
      <c r="F469" s="15"/>
      <c r="G469" s="100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00"/>
      <c r="D470" s="15"/>
      <c r="E470" s="100"/>
      <c r="F470" s="15"/>
      <c r="G470" s="100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00"/>
      <c r="D471" s="15"/>
      <c r="E471" s="100"/>
      <c r="F471" s="15"/>
      <c r="G471" s="100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00"/>
      <c r="D472" s="15"/>
      <c r="E472" s="100"/>
      <c r="F472" s="15"/>
      <c r="G472" s="100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00"/>
      <c r="D473" s="15"/>
      <c r="E473" s="100"/>
      <c r="F473" s="15"/>
      <c r="G473" s="100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00"/>
      <c r="D474" s="15"/>
      <c r="E474" s="100"/>
      <c r="F474" s="15"/>
      <c r="G474" s="100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00"/>
      <c r="D475" s="15"/>
      <c r="E475" s="100"/>
      <c r="F475" s="15"/>
      <c r="G475" s="100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00"/>
      <c r="D476" s="15"/>
      <c r="E476" s="100"/>
      <c r="F476" s="15"/>
      <c r="G476" s="100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00"/>
      <c r="D477" s="15"/>
      <c r="E477" s="100"/>
      <c r="F477" s="15"/>
      <c r="G477" s="100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00"/>
      <c r="D478" s="15"/>
      <c r="E478" s="100"/>
      <c r="F478" s="15"/>
      <c r="G478" s="100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00"/>
      <c r="D479" s="15"/>
      <c r="E479" s="100"/>
      <c r="F479" s="15"/>
      <c r="G479" s="100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00"/>
      <c r="D480" s="15"/>
      <c r="E480" s="100"/>
      <c r="F480" s="15"/>
      <c r="G480" s="100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00"/>
      <c r="D481" s="15"/>
      <c r="E481" s="100"/>
      <c r="F481" s="15"/>
      <c r="G481" s="100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00"/>
      <c r="D482" s="15"/>
      <c r="E482" s="100"/>
      <c r="F482" s="15"/>
      <c r="G482" s="100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00"/>
      <c r="D483" s="15"/>
      <c r="E483" s="100"/>
      <c r="F483" s="15"/>
      <c r="G483" s="100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00"/>
      <c r="D484" s="15"/>
      <c r="E484" s="100"/>
      <c r="F484" s="15"/>
      <c r="G484" s="100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00"/>
      <c r="D485" s="15"/>
      <c r="E485" s="100"/>
      <c r="F485" s="15"/>
      <c r="G485" s="100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00"/>
      <c r="D486" s="15"/>
      <c r="E486" s="100"/>
      <c r="F486" s="15"/>
      <c r="G486" s="100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00"/>
      <c r="D487" s="15"/>
      <c r="E487" s="100"/>
      <c r="F487" s="15"/>
      <c r="G487" s="100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00"/>
      <c r="D488" s="15"/>
      <c r="E488" s="100"/>
      <c r="F488" s="15"/>
      <c r="G488" s="100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00"/>
      <c r="D489" s="15"/>
      <c r="E489" s="100"/>
      <c r="F489" s="15"/>
      <c r="G489" s="100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00"/>
      <c r="D490" s="15"/>
      <c r="E490" s="100"/>
      <c r="F490" s="15"/>
      <c r="G490" s="100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00"/>
      <c r="D491" s="15"/>
      <c r="E491" s="100"/>
      <c r="F491" s="15"/>
      <c r="G491" s="100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00"/>
      <c r="D492" s="15"/>
      <c r="E492" s="100"/>
      <c r="F492" s="15"/>
      <c r="G492" s="100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00"/>
      <c r="D493" s="15"/>
      <c r="E493" s="100"/>
      <c r="F493" s="15"/>
      <c r="G493" s="100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00"/>
      <c r="D494" s="15"/>
      <c r="E494" s="100"/>
      <c r="F494" s="15"/>
      <c r="G494" s="100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00"/>
      <c r="D495" s="15"/>
      <c r="E495" s="100"/>
      <c r="F495" s="15"/>
      <c r="G495" s="100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00"/>
      <c r="D496" s="15"/>
      <c r="E496" s="100"/>
      <c r="F496" s="15"/>
      <c r="G496" s="100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00"/>
      <c r="D497" s="15"/>
      <c r="E497" s="100"/>
      <c r="F497" s="15"/>
      <c r="G497" s="100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00"/>
      <c r="D498" s="15"/>
      <c r="E498" s="100"/>
      <c r="F498" s="15"/>
      <c r="G498" s="100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00"/>
      <c r="D499" s="15"/>
      <c r="E499" s="100"/>
      <c r="F499" s="15"/>
      <c r="G499" s="100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00"/>
      <c r="D500" s="15"/>
      <c r="E500" s="100"/>
      <c r="F500" s="15"/>
      <c r="G500" s="100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00"/>
      <c r="D501" s="15"/>
      <c r="E501" s="100"/>
      <c r="F501" s="15"/>
      <c r="G501" s="100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00"/>
      <c r="D502" s="15"/>
      <c r="E502" s="100"/>
      <c r="F502" s="15"/>
      <c r="G502" s="100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00"/>
      <c r="D503" s="15"/>
      <c r="E503" s="100"/>
      <c r="F503" s="15"/>
      <c r="G503" s="100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00"/>
      <c r="D504" s="15"/>
      <c r="E504" s="100"/>
      <c r="F504" s="15"/>
      <c r="G504" s="100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00"/>
      <c r="D505" s="15"/>
      <c r="E505" s="100"/>
      <c r="F505" s="15"/>
      <c r="G505" s="100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00"/>
      <c r="D506" s="15"/>
      <c r="E506" s="100"/>
      <c r="F506" s="15"/>
      <c r="G506" s="100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00"/>
      <c r="D507" s="15"/>
      <c r="E507" s="100"/>
      <c r="F507" s="15"/>
      <c r="G507" s="100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00"/>
      <c r="D508" s="15"/>
      <c r="E508" s="100"/>
      <c r="F508" s="15"/>
      <c r="G508" s="100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00"/>
      <c r="D509" s="15"/>
      <c r="E509" s="100"/>
      <c r="F509" s="15"/>
      <c r="G509" s="100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00"/>
      <c r="D510" s="15"/>
      <c r="E510" s="100"/>
      <c r="F510" s="15"/>
      <c r="G510" s="100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00"/>
      <c r="D511" s="15"/>
      <c r="E511" s="100"/>
      <c r="F511" s="15"/>
      <c r="G511" s="100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00"/>
      <c r="D512" s="15"/>
      <c r="E512" s="100"/>
      <c r="F512" s="15"/>
      <c r="G512" s="100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00"/>
      <c r="D513" s="15"/>
      <c r="E513" s="100"/>
      <c r="F513" s="15"/>
      <c r="G513" s="100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00"/>
      <c r="D514" s="15"/>
      <c r="E514" s="100"/>
      <c r="F514" s="15"/>
      <c r="G514" s="100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00"/>
      <c r="D515" s="15"/>
      <c r="E515" s="100"/>
      <c r="F515" s="15"/>
      <c r="G515" s="100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00"/>
      <c r="D516" s="15"/>
      <c r="E516" s="100"/>
      <c r="F516" s="15"/>
      <c r="G516" s="100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00"/>
      <c r="D517" s="15"/>
      <c r="E517" s="100"/>
      <c r="F517" s="15"/>
      <c r="G517" s="100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00"/>
      <c r="D518" s="15"/>
      <c r="E518" s="100"/>
      <c r="F518" s="15"/>
      <c r="G518" s="100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00"/>
      <c r="D519" s="15"/>
      <c r="E519" s="100"/>
      <c r="F519" s="15"/>
      <c r="G519" s="100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00"/>
      <c r="D520" s="15"/>
      <c r="E520" s="100"/>
      <c r="F520" s="15"/>
      <c r="G520" s="100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00"/>
      <c r="D521" s="15"/>
      <c r="E521" s="100"/>
      <c r="F521" s="15"/>
      <c r="G521" s="100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00"/>
      <c r="D522" s="15"/>
      <c r="E522" s="100"/>
      <c r="F522" s="15"/>
      <c r="G522" s="100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00"/>
      <c r="D523" s="15"/>
      <c r="E523" s="100"/>
      <c r="F523" s="15"/>
      <c r="G523" s="100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00"/>
      <c r="D524" s="15"/>
      <c r="E524" s="100"/>
      <c r="F524" s="15"/>
      <c r="G524" s="100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00"/>
      <c r="D525" s="15"/>
      <c r="E525" s="100"/>
      <c r="F525" s="15"/>
      <c r="G525" s="100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00"/>
      <c r="D526" s="15"/>
      <c r="E526" s="100"/>
      <c r="F526" s="15"/>
      <c r="G526" s="100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00"/>
      <c r="D527" s="15"/>
      <c r="E527" s="100"/>
      <c r="F527" s="15"/>
      <c r="G527" s="100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00"/>
      <c r="D528" s="15"/>
      <c r="E528" s="100"/>
      <c r="F528" s="15"/>
      <c r="G528" s="100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00"/>
      <c r="D529" s="15"/>
      <c r="E529" s="100"/>
      <c r="F529" s="15"/>
      <c r="G529" s="100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00"/>
      <c r="D530" s="15"/>
      <c r="E530" s="100"/>
      <c r="F530" s="15"/>
      <c r="G530" s="100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00"/>
      <c r="D531" s="15"/>
      <c r="E531" s="100"/>
      <c r="F531" s="15"/>
      <c r="G531" s="100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00"/>
      <c r="D532" s="15"/>
      <c r="E532" s="100"/>
      <c r="F532" s="15"/>
      <c r="G532" s="100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00"/>
      <c r="D533" s="15"/>
      <c r="E533" s="100"/>
      <c r="F533" s="15"/>
      <c r="G533" s="100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00"/>
      <c r="D534" s="15"/>
      <c r="E534" s="100"/>
      <c r="F534" s="15"/>
      <c r="G534" s="100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00"/>
      <c r="D535" s="15"/>
      <c r="E535" s="100"/>
      <c r="F535" s="15"/>
      <c r="G535" s="100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00"/>
      <c r="D536" s="15"/>
      <c r="E536" s="100"/>
      <c r="F536" s="15"/>
      <c r="G536" s="100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00"/>
      <c r="D537" s="15"/>
      <c r="E537" s="100"/>
      <c r="F537" s="15"/>
      <c r="G537" s="100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00"/>
      <c r="D538" s="15"/>
      <c r="E538" s="100"/>
      <c r="F538" s="15"/>
      <c r="G538" s="100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00"/>
      <c r="D539" s="15"/>
      <c r="E539" s="100"/>
      <c r="F539" s="15"/>
      <c r="G539" s="100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00"/>
      <c r="D540" s="15"/>
      <c r="E540" s="100"/>
      <c r="F540" s="15"/>
      <c r="G540" s="100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00"/>
      <c r="D541" s="15"/>
      <c r="E541" s="100"/>
      <c r="F541" s="15"/>
      <c r="G541" s="100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00"/>
      <c r="D542" s="15"/>
      <c r="E542" s="100"/>
      <c r="F542" s="15"/>
      <c r="G542" s="100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00"/>
      <c r="D543" s="15"/>
      <c r="E543" s="100"/>
      <c r="F543" s="15"/>
      <c r="G543" s="100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00"/>
      <c r="D544" s="15"/>
      <c r="E544" s="100"/>
      <c r="F544" s="15"/>
      <c r="G544" s="100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00"/>
      <c r="D545" s="15"/>
      <c r="E545" s="100"/>
      <c r="F545" s="15"/>
      <c r="G545" s="100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00"/>
      <c r="D546" s="15"/>
      <c r="E546" s="100"/>
      <c r="F546" s="15"/>
      <c r="G546" s="100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00"/>
      <c r="D547" s="15"/>
      <c r="E547" s="100"/>
      <c r="F547" s="15"/>
      <c r="G547" s="100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00"/>
      <c r="D548" s="15"/>
      <c r="E548" s="100"/>
      <c r="F548" s="15"/>
      <c r="G548" s="100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00"/>
      <c r="D549" s="15"/>
      <c r="E549" s="100"/>
      <c r="F549" s="15"/>
      <c r="G549" s="100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00"/>
      <c r="D550" s="15"/>
      <c r="E550" s="100"/>
      <c r="F550" s="15"/>
      <c r="G550" s="100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00"/>
      <c r="D551" s="15"/>
      <c r="E551" s="100"/>
      <c r="F551" s="15"/>
      <c r="G551" s="100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00"/>
      <c r="D552" s="15"/>
      <c r="E552" s="100"/>
      <c r="F552" s="15"/>
      <c r="G552" s="100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00"/>
      <c r="D553" s="15"/>
      <c r="E553" s="100"/>
      <c r="F553" s="15"/>
      <c r="G553" s="100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00"/>
      <c r="D554" s="15"/>
      <c r="E554" s="100"/>
      <c r="F554" s="15"/>
      <c r="G554" s="100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00"/>
      <c r="D555" s="15"/>
      <c r="E555" s="100"/>
      <c r="F555" s="15"/>
      <c r="G555" s="100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00"/>
      <c r="D556" s="15"/>
      <c r="E556" s="100"/>
      <c r="F556" s="15"/>
      <c r="G556" s="100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00"/>
      <c r="D557" s="15"/>
      <c r="E557" s="100"/>
      <c r="F557" s="15"/>
      <c r="G557" s="100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00"/>
      <c r="D558" s="15"/>
      <c r="E558" s="100"/>
      <c r="F558" s="15"/>
      <c r="G558" s="100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00"/>
      <c r="D559" s="15"/>
      <c r="E559" s="100"/>
      <c r="F559" s="15"/>
      <c r="G559" s="100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00"/>
      <c r="D560" s="15"/>
      <c r="E560" s="100"/>
      <c r="F560" s="15"/>
      <c r="G560" s="100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00"/>
      <c r="D561" s="15"/>
      <c r="E561" s="100"/>
      <c r="F561" s="15"/>
      <c r="G561" s="100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00"/>
      <c r="D562" s="15"/>
      <c r="E562" s="100"/>
      <c r="F562" s="15"/>
      <c r="G562" s="100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00"/>
      <c r="D563" s="15"/>
      <c r="E563" s="100"/>
      <c r="F563" s="15"/>
      <c r="G563" s="100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00"/>
      <c r="D564" s="15"/>
      <c r="E564" s="100"/>
      <c r="F564" s="15"/>
      <c r="G564" s="100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00"/>
      <c r="D565" s="15"/>
      <c r="E565" s="100"/>
      <c r="F565" s="15"/>
      <c r="G565" s="100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00"/>
      <c r="D566" s="15"/>
      <c r="E566" s="100"/>
      <c r="F566" s="15"/>
      <c r="G566" s="100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00"/>
      <c r="D567" s="15"/>
      <c r="E567" s="100"/>
      <c r="F567" s="15"/>
      <c r="G567" s="100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00"/>
      <c r="D568" s="15"/>
      <c r="E568" s="100"/>
      <c r="F568" s="15"/>
      <c r="G568" s="100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00"/>
      <c r="D569" s="15"/>
      <c r="E569" s="100"/>
      <c r="F569" s="15"/>
      <c r="G569" s="100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00"/>
      <c r="D570" s="15"/>
      <c r="E570" s="100"/>
      <c r="F570" s="15"/>
      <c r="G570" s="100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00"/>
      <c r="D571" s="15"/>
      <c r="E571" s="100"/>
      <c r="F571" s="15"/>
      <c r="G571" s="100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00"/>
      <c r="D572" s="15"/>
      <c r="E572" s="100"/>
      <c r="F572" s="15"/>
      <c r="G572" s="100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00"/>
      <c r="D573" s="15"/>
      <c r="E573" s="100"/>
      <c r="F573" s="15"/>
      <c r="G573" s="100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00"/>
      <c r="D574" s="15"/>
      <c r="E574" s="100"/>
      <c r="F574" s="15"/>
      <c r="G574" s="100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00"/>
      <c r="D575" s="15"/>
      <c r="E575" s="100"/>
      <c r="F575" s="15"/>
      <c r="G575" s="100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00"/>
      <c r="D576" s="15"/>
      <c r="E576" s="100"/>
      <c r="F576" s="15"/>
      <c r="G576" s="100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00"/>
      <c r="D577" s="15"/>
      <c r="E577" s="100"/>
      <c r="F577" s="15"/>
      <c r="G577" s="100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00"/>
      <c r="D578" s="15"/>
      <c r="E578" s="100"/>
      <c r="F578" s="15"/>
      <c r="G578" s="100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00"/>
      <c r="D579" s="15"/>
      <c r="E579" s="100"/>
      <c r="F579" s="15"/>
      <c r="G579" s="100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00"/>
      <c r="D580" s="15"/>
      <c r="E580" s="100"/>
      <c r="F580" s="15"/>
      <c r="G580" s="100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00"/>
      <c r="D581" s="15"/>
      <c r="E581" s="100"/>
      <c r="F581" s="15"/>
      <c r="G581" s="100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00"/>
      <c r="D582" s="15"/>
      <c r="E582" s="100"/>
      <c r="F582" s="15"/>
      <c r="G582" s="100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00"/>
      <c r="D583" s="15"/>
      <c r="E583" s="100"/>
      <c r="F583" s="15"/>
      <c r="G583" s="100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00"/>
      <c r="D584" s="15"/>
      <c r="E584" s="100"/>
      <c r="F584" s="15"/>
      <c r="G584" s="100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00"/>
      <c r="D585" s="15"/>
      <c r="E585" s="100"/>
      <c r="F585" s="15"/>
      <c r="G585" s="100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00"/>
      <c r="D586" s="15"/>
      <c r="E586" s="100"/>
      <c r="F586" s="15"/>
      <c r="G586" s="100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00"/>
      <c r="D587" s="15"/>
      <c r="E587" s="100"/>
      <c r="F587" s="15"/>
      <c r="G587" s="100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00"/>
      <c r="D588" s="15"/>
      <c r="E588" s="100"/>
      <c r="F588" s="15"/>
      <c r="G588" s="100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00"/>
      <c r="D589" s="15"/>
      <c r="E589" s="100"/>
      <c r="F589" s="15"/>
      <c r="G589" s="100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00"/>
      <c r="D590" s="15"/>
      <c r="E590" s="100"/>
      <c r="F590" s="15"/>
      <c r="G590" s="100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00"/>
      <c r="D591" s="15"/>
      <c r="E591" s="100"/>
      <c r="F591" s="15"/>
      <c r="G591" s="100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00"/>
      <c r="D592" s="15"/>
      <c r="E592" s="100"/>
      <c r="F592" s="15"/>
      <c r="G592" s="100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00"/>
      <c r="D593" s="15"/>
      <c r="E593" s="100"/>
      <c r="F593" s="15"/>
      <c r="G593" s="100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00"/>
      <c r="D594" s="15"/>
      <c r="E594" s="100"/>
      <c r="F594" s="15"/>
      <c r="G594" s="100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00"/>
      <c r="D595" s="15"/>
      <c r="E595" s="100"/>
      <c r="F595" s="15"/>
      <c r="G595" s="100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00"/>
      <c r="D596" s="15"/>
      <c r="E596" s="100"/>
      <c r="F596" s="15"/>
      <c r="G596" s="100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00"/>
      <c r="D597" s="15"/>
      <c r="E597" s="100"/>
      <c r="F597" s="15"/>
      <c r="G597" s="100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00"/>
      <c r="D598" s="15"/>
      <c r="E598" s="100"/>
      <c r="F598" s="15"/>
      <c r="G598" s="100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00"/>
      <c r="D599" s="15"/>
      <c r="E599" s="100"/>
      <c r="F599" s="15"/>
      <c r="G599" s="100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00"/>
      <c r="D600" s="15"/>
      <c r="E600" s="100"/>
      <c r="F600" s="15"/>
      <c r="G600" s="100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00"/>
      <c r="D601" s="15"/>
      <c r="E601" s="100"/>
      <c r="F601" s="15"/>
      <c r="G601" s="100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00"/>
      <c r="D602" s="15"/>
      <c r="E602" s="100"/>
      <c r="F602" s="15"/>
      <c r="G602" s="100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00"/>
      <c r="D603" s="15"/>
      <c r="E603" s="100"/>
      <c r="F603" s="15"/>
      <c r="G603" s="100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00"/>
      <c r="D604" s="15"/>
      <c r="E604" s="100"/>
      <c r="F604" s="15"/>
      <c r="G604" s="100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00"/>
      <c r="D605" s="15"/>
      <c r="E605" s="100"/>
      <c r="F605" s="15"/>
      <c r="G605" s="100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00"/>
      <c r="D606" s="15"/>
      <c r="E606" s="100"/>
      <c r="F606" s="15"/>
      <c r="G606" s="100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00"/>
      <c r="D607" s="15"/>
      <c r="E607" s="100"/>
      <c r="F607" s="15"/>
      <c r="G607" s="100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00"/>
      <c r="D608" s="15"/>
      <c r="E608" s="100"/>
      <c r="F608" s="15"/>
      <c r="G608" s="100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00"/>
      <c r="D609" s="15"/>
      <c r="E609" s="100"/>
      <c r="F609" s="15"/>
      <c r="G609" s="100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00"/>
      <c r="D610" s="15"/>
      <c r="E610" s="100"/>
      <c r="F610" s="15"/>
      <c r="G610" s="100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00"/>
      <c r="D611" s="15"/>
      <c r="E611" s="100"/>
      <c r="F611" s="15"/>
      <c r="G611" s="100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00"/>
      <c r="D612" s="15"/>
      <c r="E612" s="100"/>
      <c r="F612" s="15"/>
      <c r="G612" s="100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00"/>
      <c r="D613" s="15"/>
      <c r="E613" s="100"/>
      <c r="F613" s="15"/>
      <c r="G613" s="100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00"/>
      <c r="D614" s="15"/>
      <c r="E614" s="100"/>
      <c r="F614" s="15"/>
      <c r="G614" s="100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00"/>
      <c r="D615" s="15"/>
      <c r="E615" s="100"/>
      <c r="F615" s="15"/>
      <c r="G615" s="100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00"/>
      <c r="D616" s="15"/>
      <c r="E616" s="100"/>
      <c r="F616" s="15"/>
      <c r="G616" s="100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00"/>
      <c r="D617" s="15"/>
      <c r="E617" s="100"/>
      <c r="F617" s="15"/>
      <c r="G617" s="100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00"/>
      <c r="D618" s="15"/>
      <c r="E618" s="100"/>
      <c r="F618" s="15"/>
      <c r="G618" s="100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00"/>
      <c r="D619" s="15"/>
      <c r="E619" s="100"/>
      <c r="F619" s="15"/>
      <c r="G619" s="100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00"/>
      <c r="D620" s="15"/>
      <c r="E620" s="100"/>
      <c r="F620" s="15"/>
      <c r="G620" s="100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00"/>
      <c r="D621" s="15"/>
      <c r="E621" s="100"/>
      <c r="F621" s="15"/>
      <c r="G621" s="100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00"/>
      <c r="D622" s="15"/>
      <c r="E622" s="100"/>
      <c r="F622" s="15"/>
      <c r="G622" s="100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00"/>
      <c r="D623" s="15"/>
      <c r="E623" s="100"/>
      <c r="F623" s="15"/>
      <c r="G623" s="100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00"/>
      <c r="D624" s="15"/>
      <c r="E624" s="100"/>
      <c r="F624" s="15"/>
      <c r="G624" s="100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00"/>
      <c r="D625" s="15"/>
      <c r="E625" s="100"/>
      <c r="F625" s="15"/>
      <c r="G625" s="100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00"/>
      <c r="D626" s="15"/>
      <c r="E626" s="100"/>
      <c r="F626" s="15"/>
      <c r="G626" s="100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00"/>
      <c r="D627" s="15"/>
      <c r="E627" s="100"/>
      <c r="F627" s="15"/>
      <c r="G627" s="100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00"/>
      <c r="D628" s="15"/>
      <c r="E628" s="100"/>
      <c r="F628" s="15"/>
      <c r="G628" s="100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00"/>
      <c r="D629" s="15"/>
      <c r="E629" s="100"/>
      <c r="F629" s="15"/>
      <c r="G629" s="100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00"/>
      <c r="D630" s="15"/>
      <c r="E630" s="100"/>
      <c r="F630" s="15"/>
      <c r="G630" s="100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00"/>
      <c r="D631" s="15"/>
      <c r="E631" s="100"/>
      <c r="F631" s="15"/>
      <c r="G631" s="100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00"/>
      <c r="D632" s="15"/>
      <c r="E632" s="100"/>
      <c r="F632" s="15"/>
      <c r="G632" s="100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00"/>
      <c r="D633" s="15"/>
      <c r="E633" s="100"/>
      <c r="F633" s="15"/>
      <c r="G633" s="100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00"/>
      <c r="D634" s="15"/>
      <c r="E634" s="100"/>
      <c r="F634" s="15"/>
      <c r="G634" s="100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00"/>
      <c r="D635" s="15"/>
      <c r="E635" s="100"/>
      <c r="F635" s="15"/>
      <c r="G635" s="100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00"/>
      <c r="D636" s="15"/>
      <c r="E636" s="100"/>
      <c r="F636" s="15"/>
      <c r="G636" s="100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00"/>
      <c r="D637" s="15"/>
      <c r="E637" s="100"/>
      <c r="F637" s="15"/>
      <c r="G637" s="100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00"/>
      <c r="D638" s="15"/>
      <c r="E638" s="100"/>
      <c r="F638" s="15"/>
      <c r="G638" s="100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00"/>
      <c r="D639" s="15"/>
      <c r="E639" s="100"/>
      <c r="F639" s="15"/>
      <c r="G639" s="100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00"/>
      <c r="D640" s="15"/>
      <c r="E640" s="100"/>
      <c r="F640" s="15"/>
      <c r="G640" s="100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00"/>
      <c r="D641" s="15"/>
      <c r="E641" s="100"/>
      <c r="F641" s="15"/>
      <c r="G641" s="100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00"/>
      <c r="D642" s="15"/>
      <c r="E642" s="100"/>
      <c r="F642" s="15"/>
      <c r="G642" s="100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00"/>
      <c r="D643" s="15"/>
      <c r="E643" s="100"/>
      <c r="F643" s="15"/>
      <c r="G643" s="100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00"/>
      <c r="D644" s="15"/>
      <c r="E644" s="100"/>
      <c r="F644" s="15"/>
      <c r="G644" s="100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00"/>
      <c r="D645" s="15"/>
      <c r="E645" s="100"/>
      <c r="F645" s="15"/>
      <c r="G645" s="100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00"/>
      <c r="D646" s="15"/>
      <c r="E646" s="100"/>
      <c r="F646" s="15"/>
      <c r="G646" s="100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00"/>
      <c r="D647" s="15"/>
      <c r="E647" s="100"/>
      <c r="F647" s="15"/>
      <c r="G647" s="100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00"/>
      <c r="D648" s="15"/>
      <c r="E648" s="100"/>
      <c r="F648" s="15"/>
      <c r="G648" s="100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00"/>
      <c r="D649" s="15"/>
      <c r="E649" s="100"/>
      <c r="F649" s="15"/>
      <c r="G649" s="100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00"/>
      <c r="D650" s="15"/>
      <c r="E650" s="100"/>
      <c r="F650" s="15"/>
      <c r="G650" s="100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00"/>
      <c r="D651" s="15"/>
      <c r="E651" s="100"/>
      <c r="F651" s="15"/>
      <c r="G651" s="100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00"/>
      <c r="D652" s="15"/>
      <c r="E652" s="100"/>
      <c r="F652" s="15"/>
      <c r="G652" s="100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00"/>
      <c r="D653" s="15"/>
      <c r="E653" s="100"/>
      <c r="F653" s="15"/>
      <c r="G653" s="100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00"/>
      <c r="D654" s="15"/>
      <c r="E654" s="100"/>
      <c r="F654" s="15"/>
      <c r="G654" s="100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00"/>
      <c r="D655" s="15"/>
      <c r="E655" s="100"/>
      <c r="F655" s="15"/>
      <c r="G655" s="100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00"/>
      <c r="D656" s="15"/>
      <c r="E656" s="100"/>
      <c r="F656" s="15"/>
      <c r="G656" s="100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00"/>
      <c r="D657" s="15"/>
      <c r="E657" s="100"/>
      <c r="F657" s="15"/>
      <c r="G657" s="100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00"/>
      <c r="D658" s="15"/>
      <c r="E658" s="100"/>
      <c r="F658" s="15"/>
      <c r="G658" s="100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00"/>
      <c r="D659" s="15"/>
      <c r="E659" s="100"/>
      <c r="F659" s="15"/>
      <c r="G659" s="100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00"/>
      <c r="D660" s="15"/>
      <c r="E660" s="100"/>
      <c r="F660" s="15"/>
      <c r="G660" s="100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00"/>
      <c r="D661" s="15"/>
      <c r="E661" s="100"/>
      <c r="F661" s="15"/>
      <c r="G661" s="100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00"/>
      <c r="D662" s="15"/>
      <c r="E662" s="100"/>
      <c r="F662" s="15"/>
      <c r="G662" s="100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00"/>
      <c r="D663" s="15"/>
      <c r="E663" s="100"/>
      <c r="F663" s="15"/>
      <c r="G663" s="100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00"/>
      <c r="D664" s="15"/>
      <c r="E664" s="100"/>
      <c r="F664" s="15"/>
      <c r="G664" s="100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00"/>
      <c r="D665" s="15"/>
      <c r="E665" s="100"/>
      <c r="F665" s="15"/>
      <c r="G665" s="100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00"/>
      <c r="D666" s="15"/>
      <c r="E666" s="100"/>
      <c r="F666" s="15"/>
      <c r="G666" s="100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00"/>
      <c r="D667" s="15"/>
      <c r="E667" s="100"/>
      <c r="F667" s="15"/>
      <c r="G667" s="100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00"/>
      <c r="D668" s="15"/>
      <c r="E668" s="100"/>
      <c r="F668" s="15"/>
      <c r="G668" s="100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00"/>
      <c r="D669" s="15"/>
      <c r="E669" s="100"/>
      <c r="F669" s="15"/>
      <c r="G669" s="100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00"/>
      <c r="D670" s="15"/>
      <c r="E670" s="100"/>
      <c r="F670" s="15"/>
      <c r="G670" s="100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00"/>
      <c r="D671" s="15"/>
      <c r="E671" s="100"/>
      <c r="F671" s="15"/>
      <c r="G671" s="100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00"/>
      <c r="D672" s="15"/>
      <c r="E672" s="100"/>
      <c r="F672" s="15"/>
      <c r="G672" s="100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00"/>
      <c r="D673" s="15"/>
      <c r="E673" s="100"/>
      <c r="F673" s="15"/>
      <c r="G673" s="100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00"/>
      <c r="D674" s="15"/>
      <c r="E674" s="100"/>
      <c r="F674" s="15"/>
      <c r="G674" s="100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00"/>
      <c r="D675" s="15"/>
      <c r="E675" s="100"/>
      <c r="F675" s="15"/>
      <c r="G675" s="100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00"/>
      <c r="D676" s="15"/>
      <c r="E676" s="100"/>
      <c r="F676" s="15"/>
      <c r="G676" s="100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00"/>
      <c r="D677" s="15"/>
      <c r="E677" s="100"/>
      <c r="F677" s="15"/>
      <c r="G677" s="100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00"/>
      <c r="D678" s="15"/>
      <c r="E678" s="100"/>
      <c r="F678" s="15"/>
      <c r="G678" s="100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00"/>
      <c r="D679" s="15"/>
      <c r="E679" s="100"/>
      <c r="F679" s="15"/>
      <c r="G679" s="100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00"/>
      <c r="D680" s="15"/>
      <c r="E680" s="100"/>
      <c r="F680" s="15"/>
      <c r="G680" s="100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00"/>
      <c r="D681" s="15"/>
      <c r="E681" s="100"/>
      <c r="F681" s="15"/>
      <c r="G681" s="100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00"/>
      <c r="D682" s="15"/>
      <c r="E682" s="100"/>
      <c r="F682" s="15"/>
      <c r="G682" s="100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00"/>
      <c r="D683" s="15"/>
      <c r="E683" s="100"/>
      <c r="F683" s="15"/>
      <c r="G683" s="100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00"/>
      <c r="D684" s="15"/>
      <c r="E684" s="100"/>
      <c r="F684" s="15"/>
      <c r="G684" s="100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00"/>
      <c r="D685" s="15"/>
      <c r="E685" s="100"/>
      <c r="F685" s="15"/>
      <c r="G685" s="100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00"/>
      <c r="D686" s="15"/>
      <c r="E686" s="100"/>
      <c r="F686" s="15"/>
      <c r="G686" s="100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00"/>
      <c r="D687" s="15"/>
      <c r="E687" s="100"/>
      <c r="F687" s="15"/>
      <c r="G687" s="100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00"/>
      <c r="D688" s="15"/>
      <c r="E688" s="100"/>
      <c r="F688" s="15"/>
      <c r="G688" s="100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00"/>
      <c r="D689" s="15"/>
      <c r="E689" s="100"/>
      <c r="F689" s="15"/>
      <c r="G689" s="100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00"/>
      <c r="D690" s="15"/>
      <c r="E690" s="100"/>
      <c r="F690" s="15"/>
      <c r="G690" s="100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00"/>
      <c r="D691" s="15"/>
      <c r="E691" s="100"/>
      <c r="F691" s="15"/>
      <c r="G691" s="100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00"/>
      <c r="D692" s="15"/>
      <c r="E692" s="100"/>
      <c r="F692" s="15"/>
      <c r="G692" s="100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00"/>
      <c r="D693" s="15"/>
      <c r="E693" s="100"/>
      <c r="F693" s="15"/>
      <c r="G693" s="100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00"/>
      <c r="D694" s="15"/>
      <c r="E694" s="100"/>
      <c r="F694" s="15"/>
      <c r="G694" s="100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00"/>
      <c r="D695" s="15"/>
      <c r="E695" s="100"/>
      <c r="F695" s="15"/>
      <c r="G695" s="100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00"/>
      <c r="D696" s="15"/>
      <c r="E696" s="100"/>
      <c r="F696" s="15"/>
      <c r="G696" s="100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00"/>
      <c r="D697" s="15"/>
      <c r="E697" s="100"/>
      <c r="F697" s="15"/>
      <c r="G697" s="100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00"/>
      <c r="D698" s="15"/>
      <c r="E698" s="100"/>
      <c r="F698" s="15"/>
      <c r="G698" s="100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00"/>
      <c r="D699" s="15"/>
      <c r="E699" s="100"/>
      <c r="F699" s="15"/>
      <c r="G699" s="100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00"/>
      <c r="D700" s="15"/>
      <c r="E700" s="100"/>
      <c r="F700" s="15"/>
      <c r="G700" s="100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00"/>
      <c r="D701" s="15"/>
      <c r="E701" s="100"/>
      <c r="F701" s="15"/>
      <c r="G701" s="100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00"/>
      <c r="D702" s="15"/>
      <c r="E702" s="100"/>
      <c r="F702" s="15"/>
      <c r="G702" s="100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00"/>
      <c r="D703" s="15"/>
      <c r="E703" s="100"/>
      <c r="F703" s="15"/>
      <c r="G703" s="100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00"/>
      <c r="D704" s="15"/>
      <c r="E704" s="100"/>
      <c r="F704" s="15"/>
      <c r="G704" s="100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00"/>
      <c r="D705" s="15"/>
      <c r="E705" s="100"/>
      <c r="F705" s="15"/>
      <c r="G705" s="100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00"/>
      <c r="D706" s="15"/>
      <c r="E706" s="100"/>
      <c r="F706" s="15"/>
      <c r="G706" s="100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00"/>
      <c r="D707" s="15"/>
      <c r="E707" s="100"/>
      <c r="F707" s="15"/>
      <c r="G707" s="100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00"/>
      <c r="D708" s="15"/>
      <c r="E708" s="100"/>
      <c r="F708" s="15"/>
      <c r="G708" s="100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00"/>
      <c r="D709" s="15"/>
      <c r="E709" s="100"/>
      <c r="F709" s="15"/>
      <c r="G709" s="100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00"/>
      <c r="D710" s="15"/>
      <c r="E710" s="100"/>
      <c r="F710" s="15"/>
      <c r="G710" s="100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00"/>
      <c r="D711" s="15"/>
      <c r="E711" s="100"/>
      <c r="F711" s="15"/>
      <c r="G711" s="100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00"/>
      <c r="D712" s="15"/>
      <c r="E712" s="100"/>
      <c r="F712" s="15"/>
      <c r="G712" s="100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00"/>
      <c r="D713" s="15"/>
      <c r="E713" s="100"/>
      <c r="F713" s="15"/>
      <c r="G713" s="100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00"/>
      <c r="D714" s="15"/>
      <c r="E714" s="100"/>
      <c r="F714" s="15"/>
      <c r="G714" s="100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00"/>
      <c r="D715" s="15"/>
      <c r="E715" s="100"/>
      <c r="F715" s="15"/>
      <c r="G715" s="100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00"/>
      <c r="D716" s="15"/>
      <c r="E716" s="100"/>
      <c r="F716" s="15"/>
      <c r="G716" s="100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00"/>
      <c r="D717" s="15"/>
      <c r="E717" s="100"/>
      <c r="F717" s="15"/>
      <c r="G717" s="100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00"/>
      <c r="D718" s="15"/>
      <c r="E718" s="100"/>
      <c r="F718" s="15"/>
      <c r="G718" s="100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00"/>
      <c r="D719" s="15"/>
      <c r="E719" s="100"/>
      <c r="F719" s="15"/>
      <c r="G719" s="100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00"/>
      <c r="D720" s="15"/>
      <c r="E720" s="100"/>
      <c r="F720" s="15"/>
      <c r="G720" s="100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00"/>
      <c r="D721" s="15"/>
      <c r="E721" s="100"/>
      <c r="F721" s="15"/>
      <c r="G721" s="100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00"/>
      <c r="D722" s="15"/>
      <c r="E722" s="100"/>
      <c r="F722" s="15"/>
      <c r="G722" s="100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00"/>
      <c r="D723" s="15"/>
      <c r="E723" s="100"/>
      <c r="F723" s="15"/>
      <c r="G723" s="100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00"/>
      <c r="D724" s="15"/>
      <c r="E724" s="100"/>
      <c r="F724" s="15"/>
      <c r="G724" s="100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00"/>
      <c r="D725" s="15"/>
      <c r="E725" s="100"/>
      <c r="F725" s="15"/>
      <c r="G725" s="100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00"/>
      <c r="D726" s="15"/>
      <c r="E726" s="100"/>
      <c r="F726" s="15"/>
      <c r="G726" s="100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00"/>
      <c r="D727" s="15"/>
      <c r="E727" s="100"/>
      <c r="F727" s="15"/>
      <c r="G727" s="100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00"/>
      <c r="D728" s="15"/>
      <c r="E728" s="100"/>
      <c r="F728" s="15"/>
      <c r="G728" s="100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00"/>
      <c r="D729" s="15"/>
      <c r="E729" s="100"/>
      <c r="F729" s="15"/>
      <c r="G729" s="100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00"/>
      <c r="D730" s="15"/>
      <c r="E730" s="100"/>
      <c r="F730" s="15"/>
      <c r="G730" s="100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00"/>
      <c r="D731" s="15"/>
      <c r="E731" s="100"/>
      <c r="F731" s="15"/>
      <c r="G731" s="100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00"/>
      <c r="D732" s="15"/>
      <c r="E732" s="100"/>
      <c r="F732" s="15"/>
      <c r="G732" s="100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00"/>
      <c r="D733" s="15"/>
      <c r="E733" s="100"/>
      <c r="F733" s="15"/>
      <c r="G733" s="100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00"/>
      <c r="D734" s="15"/>
      <c r="E734" s="100"/>
      <c r="F734" s="15"/>
      <c r="G734" s="100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00"/>
      <c r="D735" s="15"/>
      <c r="E735" s="100"/>
      <c r="F735" s="15"/>
      <c r="G735" s="100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00"/>
      <c r="D736" s="15"/>
      <c r="E736" s="100"/>
      <c r="F736" s="15"/>
      <c r="G736" s="100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00"/>
      <c r="D737" s="15"/>
      <c r="E737" s="100"/>
      <c r="F737" s="15"/>
      <c r="G737" s="100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00"/>
      <c r="D738" s="15"/>
      <c r="E738" s="100"/>
      <c r="F738" s="15"/>
      <c r="G738" s="100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00"/>
      <c r="D739" s="15"/>
      <c r="E739" s="100"/>
      <c r="F739" s="15"/>
      <c r="G739" s="100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00"/>
      <c r="D740" s="15"/>
      <c r="E740" s="100"/>
      <c r="F740" s="15"/>
      <c r="G740" s="100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00"/>
      <c r="D741" s="15"/>
      <c r="E741" s="100"/>
      <c r="F741" s="15"/>
      <c r="G741" s="100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00"/>
      <c r="D742" s="15"/>
      <c r="E742" s="100"/>
      <c r="F742" s="15"/>
      <c r="G742" s="100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00"/>
      <c r="D743" s="15"/>
      <c r="E743" s="100"/>
      <c r="F743" s="15"/>
      <c r="G743" s="100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00"/>
      <c r="D744" s="15"/>
      <c r="E744" s="100"/>
      <c r="F744" s="15"/>
      <c r="G744" s="100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00"/>
      <c r="D745" s="15"/>
      <c r="E745" s="100"/>
      <c r="F745" s="15"/>
      <c r="G745" s="100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00"/>
      <c r="D746" s="15"/>
      <c r="E746" s="100"/>
      <c r="F746" s="15"/>
      <c r="G746" s="100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00"/>
      <c r="D747" s="15"/>
      <c r="E747" s="100"/>
      <c r="F747" s="15"/>
      <c r="G747" s="100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00"/>
      <c r="D748" s="15"/>
      <c r="E748" s="100"/>
      <c r="F748" s="15"/>
      <c r="G748" s="100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00"/>
      <c r="D749" s="15"/>
      <c r="E749" s="100"/>
      <c r="F749" s="15"/>
      <c r="G749" s="100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00"/>
      <c r="D750" s="15"/>
      <c r="E750" s="100"/>
      <c r="F750" s="15"/>
      <c r="G750" s="100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00"/>
      <c r="D751" s="15"/>
      <c r="E751" s="100"/>
      <c r="F751" s="15"/>
      <c r="G751" s="100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00"/>
      <c r="D752" s="15"/>
      <c r="E752" s="100"/>
      <c r="F752" s="15"/>
      <c r="G752" s="100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00"/>
      <c r="D753" s="15"/>
      <c r="E753" s="100"/>
      <c r="F753" s="15"/>
      <c r="G753" s="100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00"/>
      <c r="D754" s="15"/>
      <c r="E754" s="100"/>
      <c r="F754" s="15"/>
      <c r="G754" s="100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00"/>
      <c r="D755" s="15"/>
      <c r="E755" s="100"/>
      <c r="F755" s="15"/>
      <c r="G755" s="100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00"/>
      <c r="D756" s="15"/>
      <c r="E756" s="100"/>
      <c r="F756" s="15"/>
      <c r="G756" s="100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00"/>
      <c r="D757" s="15"/>
      <c r="E757" s="100"/>
      <c r="F757" s="15"/>
      <c r="G757" s="100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00"/>
      <c r="D758" s="15"/>
      <c r="E758" s="100"/>
      <c r="F758" s="15"/>
      <c r="G758" s="100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00"/>
      <c r="D759" s="15"/>
      <c r="E759" s="100"/>
      <c r="F759" s="15"/>
      <c r="G759" s="100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00"/>
      <c r="D760" s="15"/>
      <c r="E760" s="100"/>
      <c r="F760" s="15"/>
      <c r="G760" s="100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00"/>
      <c r="D761" s="15"/>
      <c r="E761" s="100"/>
      <c r="F761" s="15"/>
      <c r="G761" s="100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00"/>
      <c r="D762" s="15"/>
      <c r="E762" s="100"/>
      <c r="F762" s="15"/>
      <c r="G762" s="100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00"/>
      <c r="D763" s="15"/>
      <c r="E763" s="100"/>
      <c r="F763" s="15"/>
      <c r="G763" s="100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00"/>
      <c r="D764" s="15"/>
      <c r="E764" s="100"/>
      <c r="F764" s="15"/>
      <c r="G764" s="100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00"/>
      <c r="D765" s="15"/>
      <c r="E765" s="100"/>
      <c r="F765" s="15"/>
      <c r="G765" s="100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00"/>
      <c r="D766" s="15"/>
      <c r="E766" s="100"/>
      <c r="F766" s="15"/>
      <c r="G766" s="100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00"/>
      <c r="D767" s="15"/>
      <c r="E767" s="100"/>
      <c r="F767" s="15"/>
      <c r="G767" s="100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00"/>
      <c r="D768" s="15"/>
      <c r="E768" s="100"/>
      <c r="F768" s="15"/>
      <c r="G768" s="100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00"/>
      <c r="D769" s="15"/>
      <c r="E769" s="100"/>
      <c r="F769" s="15"/>
      <c r="G769" s="100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00"/>
      <c r="D770" s="15"/>
      <c r="E770" s="100"/>
      <c r="F770" s="15"/>
      <c r="G770" s="100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00"/>
      <c r="D771" s="15"/>
      <c r="E771" s="100"/>
      <c r="F771" s="15"/>
      <c r="G771" s="100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00"/>
      <c r="D772" s="15"/>
      <c r="E772" s="100"/>
      <c r="F772" s="15"/>
      <c r="G772" s="100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00"/>
      <c r="D773" s="15"/>
      <c r="E773" s="100"/>
      <c r="F773" s="15"/>
      <c r="G773" s="100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00"/>
      <c r="D774" s="15"/>
      <c r="E774" s="100"/>
      <c r="F774" s="15"/>
      <c r="G774" s="100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00"/>
      <c r="D775" s="15"/>
      <c r="E775" s="100"/>
      <c r="F775" s="15"/>
      <c r="G775" s="100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00"/>
      <c r="D776" s="15"/>
      <c r="E776" s="100"/>
      <c r="F776" s="15"/>
      <c r="G776" s="100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00"/>
      <c r="D777" s="15"/>
      <c r="E777" s="100"/>
      <c r="F777" s="15"/>
      <c r="G777" s="100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00"/>
      <c r="D778" s="15"/>
      <c r="E778" s="100"/>
      <c r="F778" s="15"/>
      <c r="G778" s="100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00"/>
      <c r="D779" s="15"/>
      <c r="E779" s="100"/>
      <c r="F779" s="15"/>
      <c r="G779" s="100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00"/>
      <c r="D780" s="15"/>
      <c r="E780" s="100"/>
      <c r="F780" s="15"/>
      <c r="G780" s="100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00"/>
      <c r="D781" s="15"/>
      <c r="E781" s="100"/>
      <c r="F781" s="15"/>
      <c r="G781" s="100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00"/>
      <c r="D782" s="15"/>
      <c r="E782" s="100"/>
      <c r="F782" s="15"/>
      <c r="G782" s="100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00"/>
      <c r="D783" s="15"/>
      <c r="E783" s="100"/>
      <c r="F783" s="15"/>
      <c r="G783" s="100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00"/>
      <c r="D784" s="15"/>
      <c r="E784" s="100"/>
      <c r="F784" s="15"/>
      <c r="G784" s="100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00"/>
      <c r="D785" s="15"/>
      <c r="E785" s="100"/>
      <c r="F785" s="15"/>
      <c r="G785" s="100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00"/>
      <c r="D786" s="15"/>
      <c r="E786" s="100"/>
      <c r="F786" s="15"/>
      <c r="G786" s="100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00"/>
      <c r="D787" s="15"/>
      <c r="E787" s="100"/>
      <c r="F787" s="15"/>
      <c r="G787" s="100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00"/>
      <c r="D788" s="15"/>
      <c r="E788" s="100"/>
      <c r="F788" s="15"/>
      <c r="G788" s="100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00"/>
      <c r="D789" s="15"/>
      <c r="E789" s="100"/>
      <c r="F789" s="15"/>
      <c r="G789" s="100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00"/>
      <c r="D790" s="15"/>
      <c r="E790" s="100"/>
      <c r="F790" s="15"/>
      <c r="G790" s="100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00"/>
      <c r="D791" s="15"/>
      <c r="E791" s="100"/>
      <c r="F791" s="15"/>
      <c r="G791" s="100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00"/>
      <c r="D792" s="15"/>
      <c r="E792" s="100"/>
      <c r="F792" s="15"/>
      <c r="G792" s="100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00"/>
      <c r="D793" s="15"/>
      <c r="E793" s="100"/>
      <c r="F793" s="15"/>
      <c r="G793" s="100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00"/>
      <c r="D794" s="15"/>
      <c r="E794" s="100"/>
      <c r="F794" s="15"/>
      <c r="G794" s="100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00"/>
      <c r="D795" s="15"/>
      <c r="E795" s="100"/>
      <c r="F795" s="15"/>
      <c r="G795" s="100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00"/>
      <c r="D796" s="15"/>
      <c r="E796" s="100"/>
      <c r="F796" s="15"/>
      <c r="G796" s="100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00"/>
      <c r="D797" s="15"/>
      <c r="E797" s="100"/>
      <c r="F797" s="15"/>
      <c r="G797" s="100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00"/>
      <c r="D798" s="15"/>
      <c r="E798" s="100"/>
      <c r="F798" s="15"/>
      <c r="G798" s="100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00"/>
      <c r="D799" s="15"/>
      <c r="E799" s="100"/>
      <c r="F799" s="15"/>
      <c r="G799" s="100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00"/>
      <c r="D800" s="15"/>
      <c r="E800" s="100"/>
      <c r="F800" s="15"/>
      <c r="G800" s="100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00"/>
      <c r="D801" s="15"/>
      <c r="E801" s="100"/>
      <c r="F801" s="15"/>
      <c r="G801" s="100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00"/>
      <c r="D802" s="15"/>
      <c r="E802" s="100"/>
      <c r="F802" s="15"/>
      <c r="G802" s="100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00"/>
      <c r="D803" s="15"/>
      <c r="E803" s="100"/>
      <c r="F803" s="15"/>
      <c r="G803" s="100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00"/>
      <c r="D804" s="15"/>
      <c r="E804" s="100"/>
      <c r="F804" s="15"/>
      <c r="G804" s="100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00"/>
      <c r="D805" s="15"/>
      <c r="E805" s="100"/>
      <c r="F805" s="15"/>
      <c r="G805" s="100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00"/>
      <c r="D806" s="15"/>
      <c r="E806" s="100"/>
      <c r="F806" s="15"/>
      <c r="G806" s="100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00"/>
      <c r="D807" s="15"/>
      <c r="E807" s="100"/>
      <c r="F807" s="15"/>
      <c r="G807" s="100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00"/>
      <c r="D808" s="15"/>
      <c r="E808" s="100"/>
      <c r="F808" s="15"/>
      <c r="G808" s="100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00"/>
      <c r="D809" s="15"/>
      <c r="E809" s="100"/>
      <c r="F809" s="15"/>
      <c r="G809" s="100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00"/>
      <c r="D810" s="15"/>
      <c r="E810" s="100"/>
      <c r="F810" s="15"/>
      <c r="G810" s="100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00"/>
      <c r="D811" s="15"/>
      <c r="E811" s="100"/>
      <c r="F811" s="15"/>
      <c r="G811" s="100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00"/>
      <c r="D812" s="15"/>
      <c r="E812" s="100"/>
      <c r="F812" s="15"/>
      <c r="G812" s="100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00"/>
      <c r="D813" s="15"/>
      <c r="E813" s="100"/>
      <c r="F813" s="15"/>
      <c r="G813" s="100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00"/>
      <c r="D814" s="15"/>
      <c r="E814" s="100"/>
      <c r="F814" s="15"/>
      <c r="G814" s="100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00"/>
      <c r="D815" s="15"/>
      <c r="E815" s="100"/>
      <c r="F815" s="15"/>
      <c r="G815" s="100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00"/>
      <c r="D816" s="15"/>
      <c r="E816" s="100"/>
      <c r="F816" s="15"/>
      <c r="G816" s="100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00"/>
      <c r="D817" s="15"/>
      <c r="E817" s="100"/>
      <c r="F817" s="15"/>
      <c r="G817" s="100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00"/>
      <c r="D818" s="15"/>
      <c r="E818" s="100"/>
      <c r="F818" s="15"/>
      <c r="G818" s="100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00"/>
      <c r="D819" s="15"/>
      <c r="E819" s="100"/>
      <c r="F819" s="15"/>
      <c r="G819" s="100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00"/>
      <c r="D820" s="15"/>
      <c r="E820" s="100"/>
      <c r="F820" s="15"/>
      <c r="G820" s="100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00"/>
      <c r="D821" s="15"/>
      <c r="E821" s="100"/>
      <c r="F821" s="15"/>
      <c r="G821" s="100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00"/>
      <c r="D822" s="15"/>
      <c r="E822" s="100"/>
      <c r="F822" s="15"/>
      <c r="G822" s="100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00"/>
      <c r="D823" s="15"/>
      <c r="E823" s="100"/>
      <c r="F823" s="15"/>
      <c r="G823" s="100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00"/>
      <c r="D824" s="15"/>
      <c r="E824" s="100"/>
      <c r="F824" s="15"/>
      <c r="G824" s="100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00"/>
      <c r="D825" s="15"/>
      <c r="E825" s="100"/>
      <c r="F825" s="15"/>
      <c r="G825" s="100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00"/>
      <c r="D826" s="15"/>
      <c r="E826" s="100"/>
      <c r="F826" s="15"/>
      <c r="G826" s="100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00"/>
      <c r="D827" s="15"/>
      <c r="E827" s="100"/>
      <c r="F827" s="15"/>
      <c r="G827" s="100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00"/>
      <c r="D828" s="15"/>
      <c r="E828" s="100"/>
      <c r="F828" s="15"/>
      <c r="G828" s="100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00"/>
      <c r="D829" s="15"/>
      <c r="E829" s="100"/>
      <c r="F829" s="15"/>
      <c r="G829" s="100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00"/>
      <c r="D830" s="15"/>
      <c r="E830" s="100"/>
      <c r="F830" s="15"/>
      <c r="G830" s="100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00"/>
      <c r="D831" s="15"/>
      <c r="E831" s="100"/>
      <c r="F831" s="15"/>
      <c r="G831" s="100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00"/>
      <c r="D832" s="15"/>
      <c r="E832" s="100"/>
      <c r="F832" s="15"/>
      <c r="G832" s="100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00"/>
      <c r="D833" s="15"/>
      <c r="E833" s="100"/>
      <c r="F833" s="15"/>
      <c r="G833" s="100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00"/>
      <c r="D834" s="15"/>
      <c r="E834" s="100"/>
      <c r="F834" s="15"/>
      <c r="G834" s="100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00"/>
      <c r="D835" s="15"/>
      <c r="E835" s="100"/>
      <c r="F835" s="15"/>
      <c r="G835" s="100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00"/>
      <c r="D836" s="15"/>
      <c r="E836" s="100"/>
      <c r="F836" s="15"/>
      <c r="G836" s="100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00"/>
      <c r="D837" s="15"/>
      <c r="E837" s="100"/>
      <c r="F837" s="15"/>
      <c r="G837" s="100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00"/>
      <c r="D838" s="15"/>
      <c r="E838" s="100"/>
      <c r="F838" s="15"/>
      <c r="G838" s="100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00"/>
      <c r="D839" s="15"/>
      <c r="E839" s="100"/>
      <c r="F839" s="15"/>
      <c r="G839" s="100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00"/>
      <c r="D840" s="15"/>
      <c r="E840" s="100"/>
      <c r="F840" s="15"/>
      <c r="G840" s="100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00"/>
      <c r="D841" s="15"/>
      <c r="E841" s="100"/>
      <c r="F841" s="15"/>
      <c r="G841" s="100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00"/>
      <c r="D842" s="15"/>
      <c r="E842" s="100"/>
      <c r="F842" s="15"/>
      <c r="G842" s="100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00"/>
      <c r="D843" s="15"/>
      <c r="E843" s="100"/>
      <c r="F843" s="15"/>
      <c r="G843" s="100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00"/>
      <c r="D844" s="15"/>
      <c r="E844" s="100"/>
      <c r="F844" s="15"/>
      <c r="G844" s="100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00"/>
      <c r="D845" s="15"/>
      <c r="E845" s="100"/>
      <c r="F845" s="15"/>
      <c r="G845" s="100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00"/>
      <c r="D846" s="15"/>
      <c r="E846" s="100"/>
      <c r="F846" s="15"/>
      <c r="G846" s="100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00"/>
      <c r="D847" s="15"/>
      <c r="E847" s="100"/>
      <c r="F847" s="15"/>
      <c r="G847" s="100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00"/>
      <c r="D848" s="15"/>
      <c r="E848" s="100"/>
      <c r="F848" s="15"/>
      <c r="G848" s="100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00"/>
      <c r="D849" s="15"/>
      <c r="E849" s="100"/>
      <c r="F849" s="15"/>
      <c r="G849" s="100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00"/>
      <c r="D850" s="15"/>
      <c r="E850" s="100"/>
      <c r="F850" s="15"/>
      <c r="G850" s="100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00"/>
      <c r="D851" s="15"/>
      <c r="E851" s="100"/>
      <c r="F851" s="15"/>
      <c r="G851" s="100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00"/>
      <c r="D852" s="15"/>
      <c r="E852" s="100"/>
      <c r="F852" s="15"/>
      <c r="G852" s="100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00"/>
      <c r="D853" s="15"/>
      <c r="E853" s="100"/>
      <c r="F853" s="15"/>
      <c r="G853" s="100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00"/>
      <c r="D854" s="15"/>
      <c r="E854" s="100"/>
      <c r="F854" s="15"/>
      <c r="G854" s="100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00"/>
      <c r="D855" s="15"/>
      <c r="E855" s="100"/>
      <c r="F855" s="15"/>
      <c r="G855" s="100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00"/>
      <c r="D856" s="15"/>
      <c r="E856" s="100"/>
      <c r="F856" s="15"/>
      <c r="G856" s="100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00"/>
      <c r="D857" s="15"/>
      <c r="E857" s="100"/>
      <c r="F857" s="15"/>
      <c r="G857" s="100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00"/>
      <c r="D858" s="15"/>
      <c r="E858" s="100"/>
      <c r="F858" s="15"/>
      <c r="G858" s="100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00"/>
      <c r="D859" s="15"/>
      <c r="E859" s="100"/>
      <c r="F859" s="15"/>
      <c r="G859" s="100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00"/>
      <c r="D860" s="15"/>
      <c r="E860" s="100"/>
      <c r="F860" s="15"/>
      <c r="G860" s="100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00"/>
      <c r="D861" s="15"/>
      <c r="E861" s="100"/>
      <c r="F861" s="15"/>
      <c r="G861" s="100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00"/>
      <c r="D862" s="15"/>
      <c r="E862" s="100"/>
      <c r="F862" s="15"/>
      <c r="G862" s="100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00"/>
      <c r="D863" s="15"/>
      <c r="E863" s="100"/>
      <c r="F863" s="15"/>
      <c r="G863" s="100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00"/>
      <c r="D864" s="15"/>
      <c r="E864" s="100"/>
      <c r="F864" s="15"/>
      <c r="G864" s="100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00"/>
      <c r="D865" s="15"/>
      <c r="E865" s="100"/>
      <c r="F865" s="15"/>
      <c r="G865" s="100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00"/>
      <c r="D866" s="15"/>
      <c r="E866" s="100"/>
      <c r="F866" s="15"/>
      <c r="G866" s="100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00"/>
      <c r="D867" s="15"/>
      <c r="E867" s="100"/>
      <c r="F867" s="15"/>
      <c r="G867" s="100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00"/>
      <c r="D868" s="15"/>
      <c r="E868" s="100"/>
      <c r="F868" s="15"/>
      <c r="G868" s="100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00"/>
      <c r="D869" s="15"/>
      <c r="E869" s="100"/>
      <c r="F869" s="15"/>
      <c r="G869" s="100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00"/>
      <c r="D870" s="15"/>
      <c r="E870" s="100"/>
      <c r="F870" s="15"/>
      <c r="G870" s="100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00"/>
      <c r="D871" s="15"/>
      <c r="E871" s="100"/>
      <c r="F871" s="15"/>
      <c r="G871" s="100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00"/>
      <c r="D872" s="15"/>
      <c r="E872" s="100"/>
      <c r="F872" s="15"/>
      <c r="G872" s="100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00"/>
      <c r="D873" s="15"/>
      <c r="E873" s="100"/>
      <c r="F873" s="15"/>
      <c r="G873" s="100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00"/>
      <c r="D874" s="15"/>
      <c r="E874" s="100"/>
      <c r="F874" s="15"/>
      <c r="G874" s="100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00"/>
      <c r="D875" s="15"/>
      <c r="E875" s="100"/>
      <c r="F875" s="15"/>
      <c r="G875" s="100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00"/>
      <c r="D876" s="15"/>
      <c r="E876" s="100"/>
      <c r="F876" s="15"/>
      <c r="G876" s="100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00"/>
      <c r="D877" s="15"/>
      <c r="E877" s="100"/>
      <c r="F877" s="15"/>
      <c r="G877" s="100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00"/>
      <c r="D878" s="15"/>
      <c r="E878" s="100"/>
      <c r="F878" s="15"/>
      <c r="G878" s="100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00"/>
      <c r="D879" s="15"/>
      <c r="E879" s="100"/>
      <c r="F879" s="15"/>
      <c r="G879" s="100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00"/>
      <c r="D880" s="15"/>
      <c r="E880" s="100"/>
      <c r="F880" s="15"/>
      <c r="G880" s="100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00"/>
      <c r="D881" s="15"/>
      <c r="E881" s="100"/>
      <c r="F881" s="15"/>
      <c r="G881" s="100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00"/>
      <c r="D882" s="15"/>
      <c r="E882" s="100"/>
      <c r="F882" s="15"/>
      <c r="G882" s="100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00"/>
      <c r="D883" s="15"/>
      <c r="E883" s="100"/>
      <c r="F883" s="15"/>
      <c r="G883" s="100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00"/>
      <c r="D884" s="15"/>
      <c r="E884" s="100"/>
      <c r="F884" s="15"/>
      <c r="G884" s="100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00"/>
      <c r="D885" s="15"/>
      <c r="E885" s="100"/>
      <c r="F885" s="15"/>
      <c r="G885" s="100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00"/>
      <c r="D886" s="15"/>
      <c r="E886" s="100"/>
      <c r="F886" s="15"/>
      <c r="G886" s="100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00"/>
      <c r="D887" s="15"/>
      <c r="E887" s="100"/>
      <c r="F887" s="15"/>
      <c r="G887" s="100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00"/>
      <c r="D888" s="15"/>
      <c r="E888" s="100"/>
      <c r="F888" s="15"/>
      <c r="G888" s="100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00"/>
      <c r="D889" s="15"/>
      <c r="E889" s="100"/>
      <c r="F889" s="15"/>
      <c r="G889" s="100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00"/>
      <c r="D890" s="15"/>
      <c r="E890" s="100"/>
      <c r="F890" s="15"/>
      <c r="G890" s="100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00"/>
      <c r="D891" s="15"/>
      <c r="E891" s="100"/>
      <c r="F891" s="15"/>
      <c r="G891" s="100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00"/>
      <c r="D892" s="15"/>
      <c r="E892" s="100"/>
      <c r="F892" s="15"/>
      <c r="G892" s="100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00"/>
      <c r="D893" s="15"/>
      <c r="E893" s="100"/>
      <c r="F893" s="15"/>
      <c r="G893" s="100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00"/>
      <c r="D894" s="15"/>
      <c r="E894" s="100"/>
      <c r="F894" s="15"/>
      <c r="G894" s="100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00"/>
      <c r="D895" s="15"/>
      <c r="E895" s="100"/>
      <c r="F895" s="15"/>
      <c r="G895" s="100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00"/>
      <c r="D896" s="15"/>
      <c r="E896" s="100"/>
      <c r="F896" s="15"/>
      <c r="G896" s="100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00"/>
      <c r="D897" s="15"/>
      <c r="E897" s="100"/>
      <c r="F897" s="15"/>
      <c r="G897" s="100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00"/>
      <c r="D898" s="15"/>
      <c r="E898" s="100"/>
      <c r="F898" s="15"/>
      <c r="G898" s="100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00"/>
      <c r="D899" s="15"/>
      <c r="E899" s="100"/>
      <c r="F899" s="15"/>
      <c r="G899" s="100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00"/>
      <c r="D900" s="15"/>
      <c r="E900" s="100"/>
      <c r="F900" s="15"/>
      <c r="G900" s="100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00"/>
      <c r="D901" s="15"/>
      <c r="E901" s="100"/>
      <c r="F901" s="15"/>
      <c r="G901" s="100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00"/>
      <c r="D902" s="15"/>
      <c r="E902" s="100"/>
      <c r="F902" s="15"/>
      <c r="G902" s="100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00"/>
      <c r="D903" s="15"/>
      <c r="E903" s="100"/>
      <c r="F903" s="15"/>
      <c r="G903" s="100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00"/>
      <c r="D904" s="15"/>
      <c r="E904" s="100"/>
      <c r="F904" s="15"/>
      <c r="G904" s="100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00"/>
      <c r="D905" s="15"/>
      <c r="E905" s="100"/>
      <c r="F905" s="15"/>
      <c r="G905" s="100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00"/>
      <c r="D906" s="15"/>
      <c r="E906" s="100"/>
      <c r="F906" s="15"/>
      <c r="G906" s="100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00"/>
      <c r="D907" s="15"/>
      <c r="E907" s="100"/>
      <c r="F907" s="15"/>
      <c r="G907" s="100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00"/>
      <c r="D908" s="15"/>
      <c r="E908" s="100"/>
      <c r="F908" s="15"/>
      <c r="G908" s="100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00"/>
      <c r="D909" s="15"/>
      <c r="E909" s="100"/>
      <c r="F909" s="15"/>
      <c r="G909" s="100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00"/>
      <c r="D910" s="15"/>
      <c r="E910" s="100"/>
      <c r="F910" s="15"/>
      <c r="G910" s="100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00"/>
      <c r="D911" s="15"/>
      <c r="E911" s="100"/>
      <c r="F911" s="15"/>
      <c r="G911" s="100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00"/>
      <c r="D912" s="15"/>
      <c r="E912" s="100"/>
      <c r="F912" s="15"/>
      <c r="G912" s="100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00"/>
      <c r="D913" s="15"/>
      <c r="E913" s="100"/>
      <c r="F913" s="15"/>
      <c r="G913" s="100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00"/>
      <c r="D914" s="15"/>
      <c r="E914" s="100"/>
      <c r="F914" s="15"/>
      <c r="G914" s="100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00"/>
      <c r="D915" s="15"/>
      <c r="E915" s="100"/>
      <c r="F915" s="15"/>
      <c r="G915" s="100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00"/>
      <c r="D916" s="15"/>
      <c r="E916" s="100"/>
      <c r="F916" s="15"/>
      <c r="G916" s="100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00"/>
      <c r="D917" s="15"/>
      <c r="E917" s="100"/>
      <c r="F917" s="15"/>
      <c r="G917" s="100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00"/>
      <c r="D918" s="15"/>
      <c r="E918" s="100"/>
      <c r="F918" s="15"/>
      <c r="G918" s="100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00"/>
      <c r="D919" s="15"/>
      <c r="E919" s="100"/>
      <c r="F919" s="15"/>
      <c r="G919" s="100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00"/>
      <c r="D920" s="15"/>
      <c r="E920" s="100"/>
      <c r="F920" s="15"/>
      <c r="G920" s="100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00"/>
      <c r="D921" s="15"/>
      <c r="E921" s="100"/>
      <c r="F921" s="15"/>
      <c r="G921" s="100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00"/>
      <c r="D922" s="15"/>
      <c r="E922" s="100"/>
      <c r="F922" s="15"/>
      <c r="G922" s="100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00"/>
      <c r="D923" s="15"/>
      <c r="E923" s="100"/>
      <c r="F923" s="15"/>
      <c r="G923" s="100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00"/>
      <c r="D924" s="15"/>
      <c r="E924" s="100"/>
      <c r="F924" s="15"/>
      <c r="G924" s="100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00"/>
      <c r="D925" s="15"/>
      <c r="E925" s="100"/>
      <c r="F925" s="15"/>
      <c r="G925" s="100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00"/>
      <c r="D926" s="15"/>
      <c r="E926" s="100"/>
      <c r="F926" s="15"/>
      <c r="G926" s="100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00"/>
      <c r="D927" s="15"/>
      <c r="E927" s="100"/>
      <c r="F927" s="15"/>
      <c r="G927" s="100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00"/>
      <c r="D928" s="15"/>
      <c r="E928" s="100"/>
      <c r="F928" s="15"/>
      <c r="G928" s="100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00"/>
      <c r="D929" s="15"/>
      <c r="E929" s="100"/>
      <c r="F929" s="15"/>
      <c r="G929" s="100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00"/>
      <c r="D930" s="15"/>
      <c r="E930" s="100"/>
      <c r="F930" s="15"/>
      <c r="G930" s="100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00"/>
      <c r="D931" s="15"/>
      <c r="E931" s="100"/>
      <c r="F931" s="15"/>
      <c r="G931" s="100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00"/>
      <c r="D932" s="15"/>
      <c r="E932" s="100"/>
      <c r="F932" s="15"/>
      <c r="G932" s="100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00"/>
      <c r="D933" s="15"/>
      <c r="E933" s="100"/>
      <c r="F933" s="15"/>
      <c r="G933" s="100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00"/>
      <c r="D934" s="15"/>
      <c r="E934" s="100"/>
      <c r="F934" s="15"/>
      <c r="G934" s="100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00"/>
      <c r="D935" s="15"/>
      <c r="E935" s="100"/>
      <c r="F935" s="15"/>
      <c r="G935" s="100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00"/>
      <c r="D936" s="15"/>
      <c r="E936" s="100"/>
      <c r="F936" s="15"/>
      <c r="G936" s="100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00"/>
      <c r="D937" s="15"/>
      <c r="E937" s="100"/>
      <c r="F937" s="15"/>
      <c r="G937" s="100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00"/>
      <c r="D938" s="15"/>
      <c r="E938" s="100"/>
      <c r="F938" s="15"/>
      <c r="G938" s="100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00"/>
      <c r="D939" s="15"/>
      <c r="E939" s="100"/>
      <c r="F939" s="15"/>
      <c r="G939" s="100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00"/>
      <c r="D940" s="15"/>
      <c r="E940" s="100"/>
      <c r="F940" s="15"/>
      <c r="G940" s="100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00"/>
      <c r="D941" s="15"/>
      <c r="E941" s="100"/>
      <c r="F941" s="15"/>
      <c r="G941" s="100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00"/>
      <c r="D942" s="15"/>
      <c r="E942" s="100"/>
      <c r="F942" s="15"/>
      <c r="G942" s="100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00"/>
      <c r="D943" s="15"/>
      <c r="E943" s="100"/>
      <c r="F943" s="15"/>
      <c r="G943" s="100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00"/>
      <c r="D944" s="15"/>
      <c r="E944" s="100"/>
      <c r="F944" s="15"/>
      <c r="G944" s="100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00"/>
      <c r="D945" s="15"/>
      <c r="E945" s="100"/>
      <c r="F945" s="15"/>
      <c r="G945" s="100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00"/>
      <c r="D946" s="15"/>
      <c r="E946" s="100"/>
      <c r="F946" s="15"/>
      <c r="G946" s="100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00"/>
      <c r="D947" s="15"/>
      <c r="E947" s="100"/>
      <c r="F947" s="15"/>
      <c r="G947" s="100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00"/>
      <c r="D948" s="15"/>
      <c r="E948" s="100"/>
      <c r="F948" s="15"/>
      <c r="G948" s="100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00"/>
      <c r="D949" s="15"/>
      <c r="E949" s="100"/>
      <c r="F949" s="15"/>
      <c r="G949" s="100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00"/>
      <c r="D950" s="15"/>
      <c r="E950" s="100"/>
      <c r="F950" s="15"/>
      <c r="G950" s="100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00"/>
      <c r="D951" s="15"/>
      <c r="E951" s="100"/>
      <c r="F951" s="15"/>
      <c r="G951" s="100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00"/>
      <c r="D952" s="15"/>
      <c r="E952" s="100"/>
      <c r="F952" s="15"/>
      <c r="G952" s="100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00"/>
      <c r="D953" s="15"/>
      <c r="E953" s="100"/>
      <c r="F953" s="15"/>
      <c r="G953" s="100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00"/>
      <c r="D954" s="15"/>
      <c r="E954" s="100"/>
      <c r="F954" s="15"/>
      <c r="G954" s="100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00"/>
      <c r="D955" s="15"/>
      <c r="E955" s="100"/>
      <c r="F955" s="15"/>
      <c r="G955" s="100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00"/>
      <c r="D956" s="15"/>
      <c r="E956" s="100"/>
      <c r="F956" s="15"/>
      <c r="G956" s="100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00"/>
      <c r="D957" s="15"/>
      <c r="E957" s="100"/>
      <c r="F957" s="15"/>
      <c r="G957" s="100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00"/>
      <c r="D958" s="15"/>
      <c r="E958" s="100"/>
      <c r="F958" s="15"/>
      <c r="G958" s="100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00"/>
      <c r="D959" s="15"/>
      <c r="E959" s="100"/>
      <c r="F959" s="15"/>
      <c r="G959" s="100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00"/>
      <c r="D960" s="15"/>
      <c r="E960" s="100"/>
      <c r="F960" s="15"/>
      <c r="G960" s="100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00"/>
      <c r="D961" s="15"/>
      <c r="E961" s="100"/>
      <c r="F961" s="15"/>
      <c r="G961" s="100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00"/>
      <c r="D962" s="15"/>
      <c r="E962" s="100"/>
      <c r="F962" s="15"/>
      <c r="G962" s="100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00"/>
      <c r="D963" s="15"/>
      <c r="E963" s="100"/>
      <c r="F963" s="15"/>
      <c r="G963" s="100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00"/>
      <c r="D964" s="15"/>
      <c r="E964" s="100"/>
      <c r="F964" s="15"/>
      <c r="G964" s="100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00"/>
      <c r="D965" s="15"/>
      <c r="E965" s="100"/>
      <c r="F965" s="15"/>
      <c r="G965" s="100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00"/>
      <c r="D966" s="15"/>
      <c r="E966" s="100"/>
      <c r="F966" s="15"/>
      <c r="G966" s="100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00"/>
      <c r="D967" s="15"/>
      <c r="E967" s="100"/>
      <c r="F967" s="15"/>
      <c r="G967" s="100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00"/>
      <c r="D968" s="15"/>
      <c r="E968" s="100"/>
      <c r="F968" s="15"/>
      <c r="G968" s="100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00"/>
      <c r="D969" s="15"/>
      <c r="E969" s="100"/>
      <c r="F969" s="15"/>
      <c r="G969" s="100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00"/>
      <c r="D970" s="15"/>
      <c r="E970" s="100"/>
      <c r="F970" s="15"/>
      <c r="G970" s="100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00"/>
      <c r="D971" s="15"/>
      <c r="E971" s="100"/>
      <c r="F971" s="15"/>
      <c r="G971" s="100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00"/>
      <c r="D972" s="15"/>
      <c r="E972" s="100"/>
      <c r="F972" s="15"/>
      <c r="G972" s="100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00"/>
      <c r="D973" s="15"/>
      <c r="E973" s="100"/>
      <c r="F973" s="15"/>
      <c r="G973" s="100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00"/>
      <c r="D974" s="15"/>
      <c r="E974" s="100"/>
      <c r="F974" s="15"/>
      <c r="G974" s="100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00"/>
      <c r="D975" s="15"/>
      <c r="E975" s="100"/>
      <c r="F975" s="15"/>
      <c r="G975" s="100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00"/>
      <c r="D976" s="15"/>
      <c r="E976" s="100"/>
      <c r="F976" s="15"/>
      <c r="G976" s="100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00"/>
      <c r="D977" s="15"/>
      <c r="E977" s="100"/>
      <c r="F977" s="15"/>
      <c r="G977" s="100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00"/>
      <c r="D978" s="15"/>
      <c r="E978" s="100"/>
      <c r="F978" s="15"/>
      <c r="G978" s="100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00"/>
      <c r="D979" s="15"/>
      <c r="E979" s="100"/>
      <c r="F979" s="15"/>
      <c r="G979" s="100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00"/>
      <c r="D980" s="15"/>
      <c r="E980" s="100"/>
      <c r="F980" s="15"/>
      <c r="G980" s="100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00"/>
      <c r="D981" s="15"/>
      <c r="E981" s="100"/>
      <c r="F981" s="15"/>
      <c r="G981" s="100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00"/>
      <c r="D982" s="15"/>
      <c r="E982" s="100"/>
      <c r="F982" s="15"/>
      <c r="G982" s="100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00"/>
      <c r="D983" s="15"/>
      <c r="E983" s="100"/>
      <c r="F983" s="15"/>
      <c r="G983" s="100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00"/>
      <c r="D984" s="15"/>
      <c r="E984" s="100"/>
      <c r="F984" s="15"/>
      <c r="G984" s="100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00"/>
      <c r="D985" s="15"/>
      <c r="E985" s="100"/>
      <c r="F985" s="15"/>
      <c r="G985" s="100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00"/>
      <c r="D986" s="15"/>
      <c r="E986" s="100"/>
      <c r="F986" s="15"/>
      <c r="G986" s="100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00"/>
      <c r="D987" s="15"/>
      <c r="E987" s="100"/>
      <c r="F987" s="15"/>
      <c r="G987" s="100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00"/>
      <c r="D988" s="15"/>
      <c r="E988" s="100"/>
      <c r="F988" s="15"/>
      <c r="G988" s="100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00"/>
      <c r="D989" s="15"/>
      <c r="E989" s="100"/>
      <c r="F989" s="15"/>
      <c r="G989" s="100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00"/>
      <c r="D990" s="15"/>
      <c r="E990" s="100"/>
      <c r="F990" s="15"/>
      <c r="G990" s="100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00"/>
      <c r="D991" s="15"/>
      <c r="E991" s="100"/>
      <c r="F991" s="15"/>
      <c r="G991" s="100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00"/>
      <c r="D992" s="15"/>
      <c r="E992" s="100"/>
      <c r="F992" s="15"/>
      <c r="G992" s="100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00"/>
      <c r="D993" s="15"/>
      <c r="E993" s="100"/>
      <c r="F993" s="15"/>
      <c r="G993" s="100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00"/>
      <c r="D994" s="15"/>
      <c r="E994" s="100"/>
      <c r="F994" s="15"/>
      <c r="G994" s="100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00"/>
      <c r="D995" s="15"/>
      <c r="E995" s="100"/>
      <c r="F995" s="15"/>
      <c r="G995" s="100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00"/>
      <c r="D996" s="15"/>
      <c r="E996" s="100"/>
      <c r="F996" s="15"/>
      <c r="G996" s="100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00"/>
      <c r="D997" s="15"/>
      <c r="E997" s="100"/>
      <c r="F997" s="15"/>
      <c r="G997" s="100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00"/>
      <c r="D998" s="15"/>
      <c r="E998" s="100"/>
      <c r="F998" s="15"/>
      <c r="G998" s="100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00"/>
      <c r="D999" s="15"/>
      <c r="E999" s="100"/>
      <c r="F999" s="15"/>
      <c r="G999" s="100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00"/>
      <c r="D1000" s="15"/>
      <c r="E1000" s="100"/>
      <c r="F1000" s="15"/>
      <c r="G1000" s="100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dataValidations>
    <dataValidation type="custom" allowBlank="1" showDropDown="1" sqref="C2:C9">
      <formula1>OR(NOT(ISERROR(DATEVALUE(C2))), AND(ISNUMBER(C2), LEFT(CELL("format", C2))="D"))</formula1>
    </dataValidation>
    <dataValidation type="custom" allowBlank="1" showDropDown="1" sqref="B2:B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